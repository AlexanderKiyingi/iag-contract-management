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rojects\2026\African Coffee\Reports\Monthly Report\May 2026\"/>
    </mc:Choice>
  </mc:AlternateContent>
  <bookViews>
    <workbookView xWindow="0" yWindow="0" windowWidth="19320" windowHeight="9012" tabRatio="500" firstSheet="1" activeTab="4"/>
  </bookViews>
  <sheets>
    <sheet name="Executive Summary" sheetId="1" r:id="rId1"/>
    <sheet name="Tracker" sheetId="2" r:id="rId2"/>
    <sheet name="Work Programme" sheetId="3" r:id="rId3"/>
    <sheet name="Contractors verified" sheetId="4" r:id="rId4"/>
    <sheet name="Consultancy Works" sheetId="6" r:id="rId5"/>
  </sheets>
  <externalReferences>
    <externalReference r:id="rId6"/>
    <externalReference r:id="rId7"/>
  </externalReferences>
  <definedNames>
    <definedName name="_xlnm._FilterDatabase" localSheetId="2" hidden="1">'Work Programme'!$A$4:$K$139</definedName>
    <definedName name="_xlnm.Print_Titles" localSheetId="4">'Consultancy Works'!$1:$2</definedName>
    <definedName name="_xlnm.Print_Titles" localSheetId="3">'Contractors verified'!$1:$2</definedName>
    <definedName name="_xlnm.Print_Titles" localSheetId="0">'Executive Summary'!$1:$3</definedName>
    <definedName name="_xlnm.Print_Titles" localSheetId="1">Tracker!$1:$2</definedName>
    <definedName name="_xlnm.Print_Titles" localSheetId="2">'Work Programme'!$1:$3</definedName>
  </definedNames>
  <calcPr calcId="162913" iterateDelta="1E-4"/>
  <fileRecoveryPr repairLoad="1"/>
</workbook>
</file>

<file path=xl/calcChain.xml><?xml version="1.0" encoding="utf-8"?>
<calcChain xmlns="http://schemas.openxmlformats.org/spreadsheetml/2006/main">
  <c r="G16" i="4" l="1"/>
  <c r="F16" i="4"/>
  <c r="D16" i="4"/>
  <c r="C16" i="4"/>
  <c r="E6" i="4"/>
  <c r="E4" i="4"/>
  <c r="E16" i="4" s="1"/>
</calcChain>
</file>

<file path=xl/sharedStrings.xml><?xml version="1.0" encoding="utf-8"?>
<sst xmlns="http://schemas.openxmlformats.org/spreadsheetml/2006/main" count="3038" uniqueCount="996">
  <si>
    <t>INSPIRE AFRICA GROUP</t>
  </si>
  <si>
    <t>CONSTRUCTION DEPARTMENT – EXECUTIVE SUMMARY | MAY 2026</t>
  </si>
  <si>
    <t>Report Date: June 2026  |  Total Active Contracts: 135</t>
  </si>
  <si>
    <t>TOTAL CONTRACTS</t>
  </si>
  <si>
    <t>✓ COMPLETED</t>
  </si>
  <si>
    <t>▶ ONGOING</t>
  </si>
  <si>
    <t>⚠ HALTED</t>
  </si>
  <si>
    <t>⏸ PAUSED</t>
  </si>
  <si>
    <t>135</t>
  </si>
  <si>
    <t>46</t>
  </si>
  <si>
    <t>34</t>
  </si>
  <si>
    <t>32</t>
  </si>
  <si>
    <t>7</t>
  </si>
  <si>
    <t>All active work orders</t>
  </si>
  <si>
    <t>34% of portfolio</t>
  </si>
  <si>
    <t>Active execution</t>
  </si>
  <si>
    <t>Awaiting resolution</t>
  </si>
  <si>
    <t>Temporarily stopped</t>
  </si>
  <si>
    <t>📊  CONTRACT STATUS OVERVIEW BY CONTRACTOR</t>
  </si>
  <si>
    <t>Contractor</t>
  </si>
  <si>
    <t>Total Contracts</t>
  </si>
  <si>
    <t>Completed</t>
  </si>
  <si>
    <t>Ongoing</t>
  </si>
  <si>
    <t>Halted</t>
  </si>
  <si>
    <t>Paused</t>
  </si>
  <si>
    <t>Not Started</t>
  </si>
  <si>
    <t>Avg Progress</t>
  </si>
  <si>
    <t>AINEBYOONA ERIC</t>
  </si>
  <si>
    <t>84.0%</t>
  </si>
  <si>
    <t>ALEX MATWA</t>
  </si>
  <si>
    <t>91.2%</t>
  </si>
  <si>
    <t>ASIIMWE (MWIMO)</t>
  </si>
  <si>
    <t>47.5%</t>
  </si>
  <si>
    <t>DOASCORE</t>
  </si>
  <si>
    <t>88.5%</t>
  </si>
  <si>
    <t>INSPIRE</t>
  </si>
  <si>
    <t>60.0%</t>
  </si>
  <si>
    <t>JAMES</t>
  </si>
  <si>
    <t>67.5%</t>
  </si>
  <si>
    <t>JOSIRA ENGINEERING SERVICES</t>
  </si>
  <si>
    <t>54.0%</t>
  </si>
  <si>
    <t>KAZORA ENGINEERING</t>
  </si>
  <si>
    <t>72.5%</t>
  </si>
  <si>
    <t>MAKOONA</t>
  </si>
  <si>
    <t>63.0%</t>
  </si>
  <si>
    <t>MAURICE</t>
  </si>
  <si>
    <t>73.3%</t>
  </si>
  <si>
    <t>MORIS</t>
  </si>
  <si>
    <t>71.3%</t>
  </si>
  <si>
    <t>MATOVU ENGINEERING SERVICES</t>
  </si>
  <si>
    <t>66.6%</t>
  </si>
  <si>
    <t>NEWELL TECHNOLOGIES</t>
  </si>
  <si>
    <t>15.0%</t>
  </si>
  <si>
    <t>NOWERA</t>
  </si>
  <si>
    <t>0.6%</t>
  </si>
  <si>
    <t>NUATU</t>
  </si>
  <si>
    <t>70.0%</t>
  </si>
  <si>
    <t>OCHAYA</t>
  </si>
  <si>
    <t>88.2%</t>
  </si>
  <si>
    <t>PETER SEGAWA</t>
  </si>
  <si>
    <t>46.7%</t>
  </si>
  <si>
    <t>PTAKA</t>
  </si>
  <si>
    <t>SIGI PATRICK</t>
  </si>
  <si>
    <t>63.7%</t>
  </si>
  <si>
    <t>TASHOBYA WENS</t>
  </si>
  <si>
    <t>62.5%</t>
  </si>
  <si>
    <t>BAM</t>
  </si>
  <si>
    <t>—</t>
  </si>
  <si>
    <t>SATE BUILDERS</t>
  </si>
  <si>
    <t>3.0%</t>
  </si>
  <si>
    <t>TOTAL</t>
  </si>
  <si>
    <t>⚡  KEY CHALLENGES &amp; RECURRING ISSUES</t>
  </si>
  <si>
    <t>#</t>
  </si>
  <si>
    <t>Challenge Category</t>
  </si>
  <si>
    <t>Description</t>
  </si>
  <si>
    <t>Contractors Affected</t>
  </si>
  <si>
    <t>Priority</t>
  </si>
  <si>
    <t>Action Points</t>
  </si>
  <si>
    <t>Responsible Person</t>
  </si>
  <si>
    <t>Payment Delays</t>
  </si>
  <si>
    <t>Multiple contractors report delayed IPC payments affecting remobilisation and material procurement</t>
  </si>
  <si>
    <t>Matovu, DOASCORE, Sigi Patrick, PTAKA, Josira, Ochaya, Kazora</t>
  </si>
  <si>
    <t>HIGH</t>
  </si>
  <si>
    <t>1) Honour reviewed contracts
2) Consultants to expedite review by delegating
3) Finance to set payment schedule</t>
  </si>
  <si>
    <t>Finance / Management</t>
  </si>
  <si>
    <t>Material Supply</t>
  </si>
  <si>
    <t>Delayed delivery of hardcore, sand, blocks, culverts and specialised materials stalling progress</t>
  </si>
  <si>
    <t>Matovu, Alex Matwa, Newell Technologies, PTAKA, Kazora</t>
  </si>
  <si>
    <t>1) Procurement to source alternative suppliers
2) Set weekly material delivery targets
3) Stock critical materials on site</t>
  </si>
  <si>
    <t>Procurement / Logistics</t>
  </si>
  <si>
    <t>Fleet Management &amp; Availability</t>
  </si>
  <si>
    <t>A number of contractors were affected by the availability and rampant breakdown of fleet, deployment of fleet without consultation of the construction department</t>
  </si>
  <si>
    <t>Newell, Doascore, Nowera, Sate, BAM, Matua, Block Making Team</t>
  </si>
  <si>
    <t>1) Establish fleet booking system
2) Dedicate equipment to active sites per schedule
3) Set up in-house maintenance team</t>
  </si>
  <si>
    <t>Equipment Manager / PM</t>
  </si>
  <si>
    <t>Design Indecision</t>
  </si>
  <si>
    <t>Consultants and clients delaying finishing details, structural drawings and design approvals</t>
  </si>
  <si>
    <t>Matovu Engineering (items 1,2,7), DOASCORE, Sigi Patrick</t>
  </si>
  <si>
    <t>MEDIUM</t>
  </si>
  <si>
    <t>1) Set hard deadlines for design approvals
2) PM to escalate to CEO if unresolved
3) Consultants to provide interim guidance</t>
  </si>
  <si>
    <t>Consultants / PM</t>
  </si>
  <si>
    <t>Weather Impact</t>
  </si>
  <si>
    <t>Rainy season causing work stoppages, particularly on open-air civil and paving works</t>
  </si>
  <si>
    <t>Matovu Engineering, DOASCORE</t>
  </si>
  <si>
    <t>1) Develop wet-weather work schedule
2) Cover sensitive works with tarpaulins
3) Pre-stock materials ahead of rains</t>
  </si>
  <si>
    <t>Site Engineers / PM</t>
  </si>
  <si>
    <t>Equipment Shortage</t>
  </si>
  <si>
    <t>Lack of earthmoving equipment (backhoe, excavator) slowing excavation and trenching activities</t>
  </si>
  <si>
    <t>James (Water), Peter Segawa, Newell Technologies</t>
  </si>
  <si>
    <t>1) Mobilise backhoe and excavator to priority sites
2) Dedicate scheduled days per contractor
3) Explore equipment hire if in-house unavailable</t>
  </si>
  <si>
    <t>Equipment Manager</t>
  </si>
  <si>
    <t>Safety / Compliance</t>
  </si>
  <si>
    <t>Works halted on cosmetics modification due to PM safety instructions; UETCL pole conflict blocking security house</t>
  </si>
  <si>
    <t>Maurice, Matovu (item 26)</t>
  </si>
  <si>
    <t>1) PM to issue written safety clearance for Maurice
2) Engage UETCL for pole relocation
3) Document safety plan before resumption</t>
  </si>
  <si>
    <t>Project Manager / Engineering</t>
  </si>
  <si>
    <t>📋  PROJECT MANAGER'S DASHBOARD – JUNE 2026 ACTION ITEMS</t>
  </si>
  <si>
    <t>Action Required</t>
  </si>
  <si>
    <t>Responsible Party</t>
  </si>
  <si>
    <t>Target Date</t>
  </si>
  <si>
    <t>Status</t>
  </si>
  <si>
    <t>🔴 CRITICAL</t>
  </si>
  <si>
    <t>Release pending IPC payments to all halted contractors (Matovu, DOASCORE, Kazora, PTAKA, Ochaya, Josira) to enable immediate remobilisation</t>
  </si>
  <si>
    <t>10 Jun 2026</t>
  </si>
  <si>
    <t>PENDING</t>
  </si>
  <si>
    <t>Resolve and communicate final finishing design details for Main Gate &amp; LHS perimeter wall (Matovu items 1 &amp; 2) and fountain control room (DOASCORE)</t>
  </si>
  <si>
    <t>08 Jun 2026</t>
  </si>
  <si>
    <t>🟠 HIGH</t>
  </si>
  <si>
    <t>Procure and deliver hardcore, solid blocks, silt-free sand and culverts to priority sites: Matovu (items 15,20,27), PTAKA, Kazora (items 4,5,6)</t>
  </si>
  <si>
    <t>12 Jun 2026</t>
  </si>
  <si>
    <t>Provide structural drawings for Branch-off gate &amp; steel yard wall (Matovu item 7) and resolve UETCL pole conflict blocking security house (item 26)</t>
  </si>
  <si>
    <t>Engineering / External</t>
  </si>
  <si>
    <t>15 Jun 2026</t>
  </si>
  <si>
    <t>Mobilise earthmoving equipment (backhoe &amp; excavator) to James water project and Newell Technologies intake chamber — dedicate scheduled days</t>
  </si>
  <si>
    <t>🟡 MEDIUM</t>
  </si>
  <si>
    <t>Approve cosmetics modification safety plan and issue written clearance to Maurice for resumption of erection and sheeting works</t>
  </si>
  <si>
    <t>Project Manager</t>
  </si>
  <si>
    <t>Approve A-shaped units variation for NOWERA and issue outstanding payment for capsules / roofing works to accelerate completion</t>
  </si>
  <si>
    <t>PM / Finance</t>
  </si>
  <si>
    <t>Deliver undelivered lanterns to enable Matovu (item 21) to resume courtyard lantern installation excavation and steel works</t>
  </si>
  <si>
    <t>Procurement</t>
  </si>
  <si>
    <t>14 Jun 2026</t>
  </si>
  <si>
    <t>Provide facing bricks for Matovu RC shear wall (item 4) and machine for soil spreading at cement store (item 27)</t>
  </si>
  <si>
    <t>Procurement / Site</t>
  </si>
  <si>
    <t>🟢 ROUTINE</t>
  </si>
  <si>
    <t>Conduct weekly site progress reviews with all active contractors and update tracker status; escalate new blockers to management</t>
  </si>
  <si>
    <t>PM / Site Engineers</t>
  </si>
  <si>
    <t>Every Friday</t>
  </si>
  <si>
    <t>ONGOING</t>
  </si>
  <si>
    <t>Monitor NUATU stone crusher retaining wall steel works and coordinate embedded plate delivery to meet July machine installation deadline</t>
  </si>
  <si>
    <t>Site Engineer</t>
  </si>
  <si>
    <t>30 Jun 2026</t>
  </si>
  <si>
    <t>💰  VERIFIED CONTRACTORS – PAYMENT SUMMARY</t>
  </si>
  <si>
    <t>S/No</t>
  </si>
  <si>
    <t>Contractor Name</t>
  </si>
  <si>
    <t>Contract Sum (UGX)</t>
  </si>
  <si>
    <t>Amount Paid to Date (UGX)</t>
  </si>
  <si>
    <t>Verified Value Owed (UGX)</t>
  </si>
  <si>
    <t>Consultant Recommendation</t>
  </si>
  <si>
    <t>CEO Approval</t>
  </si>
  <si>
    <t>Remarks</t>
  </si>
  <si>
    <t>Talemwa Job</t>
  </si>
  <si>
    <t>Verified. Approved for payment by Consultant on 09/05/2026</t>
  </si>
  <si>
    <t>Matovu Vincent Engineering</t>
  </si>
  <si>
    <t>Asiimwe Emmy (Mwimos)</t>
  </si>
  <si>
    <t>Ainebyona Investments</t>
  </si>
  <si>
    <t>Kyambogo Ian – Face Brick Installation</t>
  </si>
  <si>
    <t>To be given materials to finish works. Value of works done is equivalent to amount paid</t>
  </si>
  <si>
    <t>Arinaitwe David Kazoora</t>
  </si>
  <si>
    <t>Alex Matwa</t>
  </si>
  <si>
    <t>Wambogo Samson</t>
  </si>
  <si>
    <t>Mubajje Sulah</t>
  </si>
  <si>
    <t>Alex Carpenter</t>
  </si>
  <si>
    <t>Josira Investments</t>
  </si>
  <si>
    <t>Segawa Peter</t>
  </si>
  <si>
    <t>Omollo Maurice</t>
  </si>
  <si>
    <t>🔧  ENGINEERING &amp; CONSULTANCY WORKS – MAY 2026</t>
  </si>
  <si>
    <t>Project</t>
  </si>
  <si>
    <t>Consultant</t>
  </si>
  <si>
    <t>Planned Progress</t>
  </si>
  <si>
    <t>Actual Progress</t>
  </si>
  <si>
    <t>Contract Amount (UGX)</t>
  </si>
  <si>
    <t>Amount Paid (UGX)</t>
  </si>
  <si>
    <t>Feasibility study for development of a sewer network and wastewater treatment infrastructure</t>
  </si>
  <si>
    <t>W.S.T (Dr. Eng. Swaib Semiyaga)</t>
  </si>
  <si>
    <t>60%</t>
  </si>
  <si>
    <t>50%</t>
  </si>
  <si>
    <t>200,000,000</t>
  </si>
  <si>
    <t>60,000,000</t>
  </si>
  <si>
    <t>Detailed Hydrological Analysis and Hydraulic Design for storm water Drainage System for the Coffee Airport</t>
  </si>
  <si>
    <t>Foldwoc Engineering Company Ltd (Eng. Simon Yiga)</t>
  </si>
  <si>
    <t>18%</t>
  </si>
  <si>
    <t>70,000,000</t>
  </si>
  <si>
    <t>28,000,000</t>
  </si>
  <si>
    <t>Design of a lakeside resort at Nyabihoko</t>
  </si>
  <si>
    <t>Sate Builders Ltd</t>
  </si>
  <si>
    <t>100%</t>
  </si>
  <si>
    <t>55%</t>
  </si>
  <si>
    <t>TBU</t>
  </si>
  <si>
    <t>Design of access road to the Airport</t>
  </si>
  <si>
    <t>Venture K</t>
  </si>
  <si>
    <t>25%</t>
  </si>
  <si>
    <t>20%</t>
  </si>
  <si>
    <t>Quantitative surveying consultancy</t>
  </si>
  <si>
    <t>RSU Frank Tebandeke</t>
  </si>
  <si>
    <t>Project Scheduling</t>
  </si>
  <si>
    <t>INSPIRE AFRICA GROUP – CONSTRUCTION DEPARTMENT  |  Confidential  |  May 2026</t>
  </si>
  <si>
    <t>INSPIRE AFRICA GROUP – CONSTRUCTION DEPARTMENT  |  MAY 2026 REPORT &amp; JUNE 2026 OUTLOOK</t>
  </si>
  <si>
    <t>S/N</t>
  </si>
  <si>
    <t>Contract Details</t>
  </si>
  <si>
    <t>Variation (UGX)</t>
  </si>
  <si>
    <t>Received Amount (UGX)</t>
  </si>
  <si>
    <t>Progress (%)</t>
  </si>
  <si>
    <t>Current Activity</t>
  </si>
  <si>
    <t>May 2026 Accomplishments</t>
  </si>
  <si>
    <t>Challenges</t>
  </si>
  <si>
    <t>Interventions Required</t>
  </si>
  <si>
    <t>Planned Completion Date</t>
  </si>
  <si>
    <t>June 2026 Planned Activities</t>
  </si>
  <si>
    <t>1</t>
  </si>
  <si>
    <t>Matovu Engineering Engineering Services</t>
  </si>
  <si>
    <t>Perimeter wall and branch off gate to Exhibition</t>
  </si>
  <si>
    <t>50,000,000</t>
  </si>
  <si>
    <t>95%</t>
  </si>
  <si>
    <t>perimeter wall snag finishes</t>
  </si>
  <si>
    <t>1)Branch off gate finishes100%
2) perimeter wall coping 90%</t>
  </si>
  <si>
    <t>1) Soft sand supply and bad weather
2) Traffic control at branch off gate during finishing
3) Delayed payments</t>
  </si>
  <si>
    <t>1)  Payment 
2) Delivery of required material</t>
  </si>
  <si>
    <t>with in 5 days after commencement</t>
  </si>
  <si>
    <t>1) Completion of  all remaining finishes and snag rectification</t>
  </si>
  <si>
    <t>2</t>
  </si>
  <si>
    <t>Main Gate and LHS perimeter wall</t>
  </si>
  <si>
    <t>0</t>
  </si>
  <si>
    <t>85%</t>
  </si>
  <si>
    <t>coping works on p. wall</t>
  </si>
  <si>
    <t>1 Main Gate finishes 97%, 2.perimeter Wall coping 79%</t>
  </si>
  <si>
    <t>1) Indecision of finishing details by consultants
2)Delayed payments and bad weather, lack of silt free soft sand for finishes</t>
  </si>
  <si>
    <t>1) Payments
2)Remobilisation of workers</t>
  </si>
  <si>
    <t>10 days after disbursement of funds</t>
  </si>
  <si>
    <t>Finish all remaining works and handover</t>
  </si>
  <si>
    <t>3</t>
  </si>
  <si>
    <t>Concrete Road Paving at Exhibition (Phase 1)</t>
  </si>
  <si>
    <t>55,000,000</t>
  </si>
  <si>
    <t>NA</t>
  </si>
  <si>
    <t>Finished</t>
  </si>
  <si>
    <t>1) Delayed material delivery and inconsistent in water supply</t>
  </si>
  <si>
    <t>Nil</t>
  </si>
  <si>
    <t>4</t>
  </si>
  <si>
    <t>Rc Shear wall at Exhibition</t>
  </si>
  <si>
    <t>30,000,000</t>
  </si>
  <si>
    <t>Top coping</t>
  </si>
  <si>
    <t>On top coping</t>
  </si>
  <si>
    <t>Delayed installation of facing bricks to pave way for top coping</t>
  </si>
  <si>
    <t>5</t>
  </si>
  <si>
    <t>Drainage System (Culverts and manholes)</t>
  </si>
  <si>
    <t>25,000,000</t>
  </si>
  <si>
    <t>Bad weather ( Rainy season)</t>
  </si>
  <si>
    <t>6</t>
  </si>
  <si>
    <t>Kerb stone installation at football pitch</t>
  </si>
  <si>
    <t>6,500,000</t>
  </si>
  <si>
    <t>Material supply and delayed payments</t>
  </si>
  <si>
    <t>Branch-off gate and perimeter Wall Extension at Steel yard</t>
  </si>
  <si>
    <t>45,000,000</t>
  </si>
  <si>
    <t>73%</t>
  </si>
  <si>
    <t>shuttering and steel work for gate canopy and wall coping</t>
  </si>
  <si>
    <t>Shuttering</t>
  </si>
  <si>
    <t>Delayed structural drawings and design from client</t>
  </si>
  <si>
    <t>8</t>
  </si>
  <si>
    <t>Perimeter wall Extension to Chain link</t>
  </si>
  <si>
    <t>5,000,000</t>
  </si>
  <si>
    <t>97%</t>
  </si>
  <si>
    <t>Snag rectification</t>
  </si>
  <si>
    <t>coping</t>
  </si>
  <si>
    <t>wall was running within the line of culverts</t>
  </si>
  <si>
    <t>9</t>
  </si>
  <si>
    <t>Concrete Road paving Extension( Phase 2)</t>
  </si>
  <si>
    <t>40,000,000</t>
  </si>
  <si>
    <t>finished</t>
  </si>
  <si>
    <t>Levels</t>
  </si>
  <si>
    <t>10</t>
  </si>
  <si>
    <t>stone pitched retaining wall( Entrance to Exhibition)</t>
  </si>
  <si>
    <t>10,000,000</t>
  </si>
  <si>
    <t>Indecision on levels by the consulting team</t>
  </si>
  <si>
    <t>11</t>
  </si>
  <si>
    <t>Kerb Stone installation ( Main road)</t>
  </si>
  <si>
    <t>12,000,000</t>
  </si>
  <si>
    <t>Delayed kerb delivery</t>
  </si>
  <si>
    <t>12</t>
  </si>
  <si>
    <t>Walkway Paver laying ( Main road)</t>
  </si>
  <si>
    <t>3,500,000</t>
  </si>
  <si>
    <t>Bad weather</t>
  </si>
  <si>
    <t>13</t>
  </si>
  <si>
    <t>Concrete Gutter Casting ( Main road)</t>
  </si>
  <si>
    <t>3,000,000</t>
  </si>
  <si>
    <t>Indecision on the proper design of the gutter</t>
  </si>
  <si>
    <t>14</t>
  </si>
  <si>
    <t>Storage tent platform</t>
  </si>
  <si>
    <t>96%</t>
  </si>
  <si>
    <t>Screading</t>
  </si>
  <si>
    <t>concrete works</t>
  </si>
  <si>
    <t>Stocking of material on the platform</t>
  </si>
  <si>
    <t>15</t>
  </si>
  <si>
    <t>2 Gates and perimeter wall construction from main gate to drymill</t>
  </si>
  <si>
    <t>95,000,000</t>
  </si>
  <si>
    <t>plinth wall erection</t>
  </si>
  <si>
    <t>pads installation and casting</t>
  </si>
  <si>
    <t>lack of hardcore and solid blocks</t>
  </si>
  <si>
    <t>16</t>
  </si>
  <si>
    <t>Chain link Enclosure at Steel yard</t>
  </si>
  <si>
    <t>87%</t>
  </si>
  <si>
    <t>concrete chain mashing/ sill</t>
  </si>
  <si>
    <t>chain installation</t>
  </si>
  <si>
    <t>17</t>
  </si>
  <si>
    <t>Stone pitched retaining wall  at storage tent</t>
  </si>
  <si>
    <t>8,000,000</t>
  </si>
  <si>
    <t>42%</t>
  </si>
  <si>
    <t>Stone pitching works, beams and columns</t>
  </si>
  <si>
    <t>stone pitching ongoing (69%)</t>
  </si>
  <si>
    <t>Hard core delivery</t>
  </si>
  <si>
    <t>18</t>
  </si>
  <si>
    <t>Raisers and Separation Wall in Exhibition</t>
  </si>
  <si>
    <t>24,070,000</t>
  </si>
  <si>
    <t>finished 100%</t>
  </si>
  <si>
    <t>indecision on the design</t>
  </si>
  <si>
    <t>19</t>
  </si>
  <si>
    <t>Modern toilets, Kitchen and Washrooms at storage tent</t>
  </si>
  <si>
    <t>10%</t>
  </si>
  <si>
    <t>site clearance</t>
  </si>
  <si>
    <t>Excess earth clearance</t>
  </si>
  <si>
    <t>Drawings</t>
  </si>
  <si>
    <t>20</t>
  </si>
  <si>
    <t>Retaining wall btn Exhibition and Storage tent</t>
  </si>
  <si>
    <t>0%</t>
  </si>
  <si>
    <t>Hardcore delivery</t>
  </si>
  <si>
    <t>21</t>
  </si>
  <si>
    <t>Courtyard Lantern installation at selected parts around Exhibition roads</t>
  </si>
  <si>
    <t>9,000,000</t>
  </si>
  <si>
    <t>15%</t>
  </si>
  <si>
    <t>Excavation and steel works</t>
  </si>
  <si>
    <t>1.column steel erected (100%) 2. All column pads cast(100%) 3. 8 starter columns cast</t>
  </si>
  <si>
    <t>Un delivered lanterns</t>
  </si>
  <si>
    <t>22</t>
  </si>
  <si>
    <t>Residential units construction at white house</t>
  </si>
  <si>
    <t>34,000,000</t>
  </si>
  <si>
    <t>foundation back fill and compaction</t>
  </si>
  <si>
    <t>plinth wall</t>
  </si>
  <si>
    <t>Shared Retaining wall with the cement storage ( residentials have to wait)</t>
  </si>
  <si>
    <t>23</t>
  </si>
  <si>
    <t>Consultancy offices at white house</t>
  </si>
  <si>
    <t>16,000,000</t>
  </si>
  <si>
    <t>78%</t>
  </si>
  <si>
    <t>beam steel fabrication and formwork</t>
  </si>
  <si>
    <t>superstructure block walling</t>
  </si>
  <si>
    <t>Irregular supply of blocks due to consistent machine break down</t>
  </si>
  <si>
    <t>24</t>
  </si>
  <si>
    <t>Agricultural offices at white house</t>
  </si>
  <si>
    <t>35,000,000</t>
  </si>
  <si>
    <t>41%</t>
  </si>
  <si>
    <t>Block walling</t>
  </si>
  <si>
    <t>oversite concrete and superstructure block walling</t>
  </si>
  <si>
    <t>Blocks</t>
  </si>
  <si>
    <t>25</t>
  </si>
  <si>
    <t>Dinning facility at white house</t>
  </si>
  <si>
    <t>92%</t>
  </si>
  <si>
    <t>plasta and finishing</t>
  </si>
  <si>
    <t>Lack of clean silt free soft sand</t>
  </si>
  <si>
    <t>26</t>
  </si>
  <si>
    <t>Security house</t>
  </si>
  <si>
    <t>UETCL planted a pole within the house location</t>
  </si>
  <si>
    <t>27</t>
  </si>
  <si>
    <t>Cement Store facility down at white house</t>
  </si>
  <si>
    <t>90,000,000</t>
  </si>
  <si>
    <t>39%</t>
  </si>
  <si>
    <t>Back fill and compaction</t>
  </si>
  <si>
    <t>Retaining wall casting (60%). plinth wall (100%)</t>
  </si>
  <si>
    <t>Machine to spread soil in preparation for oversite concrete</t>
  </si>
  <si>
    <t>28</t>
  </si>
  <si>
    <t>Extension of dining facility at white house</t>
  </si>
  <si>
    <t>15,000,000</t>
  </si>
  <si>
    <t>Delayed payments to add on man power</t>
  </si>
  <si>
    <t>29</t>
  </si>
  <si>
    <t>Storm water trench at Exhibition</t>
  </si>
  <si>
    <t>40%</t>
  </si>
  <si>
    <t>wall casting and precast cover slab casting</t>
  </si>
  <si>
    <t>Base casting and steel works for walls</t>
  </si>
  <si>
    <t>payments</t>
  </si>
  <si>
    <t>30</t>
  </si>
  <si>
    <t>Construction of a dancing fountain</t>
  </si>
  <si>
    <t>20,000,000</t>
  </si>
  <si>
    <t>1) IPC Payment 10M</t>
  </si>
  <si>
    <t>31</t>
  </si>
  <si>
    <t>Tilling of the fountain</t>
  </si>
  <si>
    <t>18,000,000</t>
  </si>
  <si>
    <t>450,000</t>
  </si>
  <si>
    <t>1) Indecision of finishing details 
2)Indecision on the gate design</t>
  </si>
  <si>
    <t>1. IPC payment  17,550,000</t>
  </si>
  <si>
    <t>Fountain control room</t>
  </si>
  <si>
    <t>94%</t>
  </si>
  <si>
    <t>Finishing works</t>
  </si>
  <si>
    <t>1) Delayed payments</t>
  </si>
  <si>
    <t>1) IPC payment 12M</t>
  </si>
  <si>
    <t>10.06.2026</t>
  </si>
  <si>
    <t>1) Floor works
2) Painting works</t>
  </si>
  <si>
    <t>33</t>
  </si>
  <si>
    <t>Cattle shade 1 Nyabihoko</t>
  </si>
  <si>
    <t>1} Delayed delivery of materials on site</t>
  </si>
  <si>
    <t>1) IPC Payment 16M</t>
  </si>
  <si>
    <t>15.06.2026</t>
  </si>
  <si>
    <t>1) Back filling
2) Hardcore placing and sand blinding
3) Steel works
4)concrete</t>
  </si>
  <si>
    <t>Main gate, Gate to the pitch and Gate to the Administration block</t>
  </si>
  <si>
    <t>4,000,000</t>
  </si>
  <si>
    <t>70%</t>
  </si>
  <si>
    <t>Gate to the pitch waiting for light and others waiting for cables and light</t>
  </si>
  <si>
    <t>Piping 70%, Wiring 50%, fittings 35%</t>
  </si>
  <si>
    <t>1) lack of materials                         2) lack of money to pay workers</t>
  </si>
  <si>
    <t>8 days after getting materials</t>
  </si>
  <si>
    <t>1) laying remaining cables       2) Fitting lights and distribution boards                   3)  Power supply</t>
  </si>
  <si>
    <t>35</t>
  </si>
  <si>
    <t>Staff houses 5 rooms</t>
  </si>
  <si>
    <t>5,390,000</t>
  </si>
  <si>
    <t>99%</t>
  </si>
  <si>
    <t>Handing over</t>
  </si>
  <si>
    <t>0.99</t>
  </si>
  <si>
    <t>Delayed to pay balance</t>
  </si>
  <si>
    <t>Paying balance</t>
  </si>
  <si>
    <t>-</t>
  </si>
  <si>
    <t>36</t>
  </si>
  <si>
    <t>View point and freeze dry gate</t>
  </si>
  <si>
    <t>4,500,000</t>
  </si>
  <si>
    <t>80%</t>
  </si>
  <si>
    <t>Waiting for lights</t>
  </si>
  <si>
    <t>1) Indecision on coping design</t>
  </si>
  <si>
    <t>1) Coping Design details</t>
  </si>
  <si>
    <t>10 days after getting materials</t>
  </si>
  <si>
    <t>1) Finishing work after getting materials</t>
  </si>
  <si>
    <t>37</t>
  </si>
  <si>
    <t>Dry mill and wet mill light</t>
  </si>
  <si>
    <t>2,500,000</t>
  </si>
  <si>
    <t>Waiting for materials</t>
  </si>
  <si>
    <t>7 days after getting materials</t>
  </si>
  <si>
    <t>38</t>
  </si>
  <si>
    <t>Packaging light, roastry basement light and extraction</t>
  </si>
  <si>
    <t>14 after getting materials</t>
  </si>
  <si>
    <t>39</t>
  </si>
  <si>
    <t>Museum</t>
  </si>
  <si>
    <t>1,000,000</t>
  </si>
  <si>
    <t>500,000</t>
  </si>
  <si>
    <t>Waiting for balance</t>
  </si>
  <si>
    <t>Handover</t>
  </si>
  <si>
    <t>40</t>
  </si>
  <si>
    <t>White house/Kawiri's house</t>
  </si>
  <si>
    <t>1 day</t>
  </si>
  <si>
    <t>41</t>
  </si>
  <si>
    <t>Slab piping of wood shade</t>
  </si>
  <si>
    <t>Waiting for money</t>
  </si>
  <si>
    <t>42</t>
  </si>
  <si>
    <t>Slab piping of dry mill basement</t>
  </si>
  <si>
    <t>43</t>
  </si>
  <si>
    <t>Lower cave and upper cave cottages</t>
  </si>
  <si>
    <t>65%</t>
  </si>
  <si>
    <t>Piping remaining cave</t>
  </si>
  <si>
    <t>60 days</t>
  </si>
  <si>
    <t>44</t>
  </si>
  <si>
    <t>Exhibition tent wiring and 16 sign posts at the pitch</t>
  </si>
  <si>
    <t>14 days</t>
  </si>
  <si>
    <t>45</t>
  </si>
  <si>
    <t>Administration block</t>
  </si>
  <si>
    <t>13,000,000</t>
  </si>
  <si>
    <t>90%</t>
  </si>
  <si>
    <t>Addition works  in lower and upper cave cottages</t>
  </si>
  <si>
    <t>90 days</t>
  </si>
  <si>
    <t>47</t>
  </si>
  <si>
    <t>Cosmetic</t>
  </si>
  <si>
    <t>10m</t>
  </si>
  <si>
    <t>Finishing slab</t>
  </si>
  <si>
    <t>change of design, delay of materials, transports material for himself</t>
  </si>
  <si>
    <t>aggregates,sand,and blocks(0.2x0.4)cm3</t>
  </si>
  <si>
    <t>15/06/2026</t>
  </si>
  <si>
    <t>plastering, block work completioin, formwork completion.</t>
  </si>
  <si>
    <t>48</t>
  </si>
  <si>
    <t>LPG(tank base)</t>
  </si>
  <si>
    <t>money, material</t>
  </si>
  <si>
    <t>sand, aggregates</t>
  </si>
  <si>
    <t>completion of the work</t>
  </si>
  <si>
    <t>49</t>
  </si>
  <si>
    <t>ramp behind cold brew</t>
  </si>
  <si>
    <t>1m</t>
  </si>
  <si>
    <t>NIL</t>
  </si>
  <si>
    <t>Money and material</t>
  </si>
  <si>
    <t>sand and aggregates</t>
  </si>
  <si>
    <t>20/06/2026</t>
  </si>
  <si>
    <t>50</t>
  </si>
  <si>
    <t>Boiler chamber</t>
  </si>
  <si>
    <t>money demand</t>
  </si>
  <si>
    <t>51</t>
  </si>
  <si>
    <t>PARTION WALL INSIDE COSMETICS</t>
  </si>
  <si>
    <t>52</t>
  </si>
  <si>
    <t>POWER HOUSE AT THE DAM AREA</t>
  </si>
  <si>
    <t>53</t>
  </si>
  <si>
    <t>Stone pitching behind cosmetics</t>
  </si>
  <si>
    <t>5m</t>
  </si>
  <si>
    <t>54</t>
  </si>
  <si>
    <t>Retaining wall behind power house</t>
  </si>
  <si>
    <t>55</t>
  </si>
  <si>
    <t>Cosmetics roofing and fabrication</t>
  </si>
  <si>
    <t>erected 1 truss, fabrication completed</t>
  </si>
  <si>
    <t>completion of slab</t>
  </si>
  <si>
    <t>completion of trusses and roofing</t>
  </si>
  <si>
    <t>56</t>
  </si>
  <si>
    <t>POWER HOUSE</t>
  </si>
  <si>
    <t>FINISHED FABRICATION OF PLATES</t>
  </si>
  <si>
    <t>COMPLETED</t>
  </si>
  <si>
    <t>57</t>
  </si>
  <si>
    <t>EXHIBITION TENT</t>
  </si>
  <si>
    <t>Tent installation and fabrication</t>
  </si>
  <si>
    <t>sealant</t>
  </si>
  <si>
    <t>completion of tent installation</t>
  </si>
  <si>
    <t>58</t>
  </si>
  <si>
    <t>Casting topslab at the power house</t>
  </si>
  <si>
    <t>making formwork</t>
  </si>
  <si>
    <t>casting of the slab</t>
  </si>
  <si>
    <t>59</t>
  </si>
  <si>
    <t>Drainage channel behind Extraction</t>
  </si>
  <si>
    <t>material and money</t>
  </si>
  <si>
    <t>completion of the drainage channel</t>
  </si>
  <si>
    <t>60</t>
  </si>
  <si>
    <t>required to determine levels</t>
  </si>
  <si>
    <t>change in levels</t>
  </si>
  <si>
    <t>61</t>
  </si>
  <si>
    <t>Construction of the gates</t>
  </si>
  <si>
    <t>2,000,000</t>
  </si>
  <si>
    <t>Ring beam shuttering and steel works</t>
  </si>
  <si>
    <t>1) casting ring beam 70%
plastering 50%</t>
  </si>
  <si>
    <t>1)  delays in material delivery 
(2) Delayed payments</t>
  </si>
  <si>
    <t>1) IPC Payment 1M 
2) Approval of the Variation</t>
  </si>
  <si>
    <t>25.06.2026</t>
  </si>
  <si>
    <t>1) Completion of the Ring beam 
2) Plastering and rendering</t>
  </si>
  <si>
    <t>62</t>
  </si>
  <si>
    <t>retaining wall, car ramp, perimeter wall</t>
  </si>
  <si>
    <t>63</t>
  </si>
  <si>
    <t>CAR parking,perimeter wall and kerbstone</t>
  </si>
  <si>
    <t>plastering and Rendering</t>
  </si>
  <si>
    <t>1) Indecision of finishing details</t>
  </si>
  <si>
    <t>1)  Finishing details 
2)Partial  payment</t>
  </si>
  <si>
    <t>plastering and copings</t>
  </si>
  <si>
    <t>64</t>
  </si>
  <si>
    <t>construction of stone masonry drai,culvert installation and pavement</t>
  </si>
  <si>
    <t>N/A</t>
  </si>
  <si>
    <t>65</t>
  </si>
  <si>
    <t>Power House/Mezzanine Floor</t>
  </si>
  <si>
    <t>NONE</t>
  </si>
  <si>
    <t>66</t>
  </si>
  <si>
    <t>Exhibition Works</t>
  </si>
  <si>
    <t>Silicon filling</t>
  </si>
  <si>
    <t>1)Payments delay</t>
  </si>
  <si>
    <t>1) passage tent need to be checked and approved before we proceed</t>
  </si>
  <si>
    <t>1) Completion of works at Exhibition</t>
  </si>
  <si>
    <t>67</t>
  </si>
  <si>
    <t>Cosmetic Modification</t>
  </si>
  <si>
    <t>30%</t>
  </si>
  <si>
    <t>Non</t>
  </si>
  <si>
    <t>1)Works were halted due to safety precautions that were instructed by the project manager</t>
  </si>
  <si>
    <t>1) Resumption of works</t>
  </si>
  <si>
    <t>1) Continuation of erection and sheeting of the laboratory</t>
  </si>
  <si>
    <t>68</t>
  </si>
  <si>
    <t>CONSTRUCTION OF RETAINING WALL</t>
  </si>
  <si>
    <t>65,000,000</t>
  </si>
  <si>
    <t>NO</t>
  </si>
  <si>
    <t>SHUTTERING AND FORMWORK FOR CONCRETE</t>
  </si>
  <si>
    <t>1) STEEL WORKS 100%
2) CONCRETE CASTING OF THE WALL 95%</t>
  </si>
  <si>
    <t>WATER TREATMENT 95%</t>
  </si>
  <si>
    <t>05.06.2026</t>
  </si>
  <si>
    <t>1) Inspire 
2) Inspire</t>
  </si>
  <si>
    <t>69</t>
  </si>
  <si>
    <t>CONSTRUCTION OF WETMILL</t>
  </si>
  <si>
    <t>85,000,000</t>
  </si>
  <si>
    <t>KL</t>
  </si>
  <si>
    <t>Pending Site Location</t>
  </si>
  <si>
    <t>70</t>
  </si>
  <si>
    <t>construction of retaining wall and repairing the storm water drainage channel at link 1 &amp; link 7 roads</t>
  </si>
  <si>
    <t>144,275,000</t>
  </si>
  <si>
    <t>desilting,removing debris from existing drain</t>
  </si>
  <si>
    <t>1) desilting done 20%</t>
  </si>
  <si>
    <t>1) inadequate labour 
2) material (hardcore)
3) Delayed payments</t>
  </si>
  <si>
    <t>payment</t>
  </si>
  <si>
    <t>30.06.2026</t>
  </si>
  <si>
    <t>1) working on drainage channel repair, base and walls link 1</t>
  </si>
  <si>
    <t>71</t>
  </si>
  <si>
    <t>Concrete U drain,  access culverts and end structures for cross Culvert at link 7</t>
  </si>
  <si>
    <t>concerts for u drain base and walls, steel work for u drain and end structures</t>
  </si>
  <si>
    <t>1).Access culverts 80%,  
2).concrete u drain 65%,
3).end structures 10%</t>
  </si>
  <si>
    <t>delayed payments</t>
  </si>
  <si>
    <t>1) complete concrete u drain 
2) complete culvert installation for access
3) complete end structures (manholes)</t>
  </si>
  <si>
    <t>72</t>
  </si>
  <si>
    <t>Installation of the curtain wall at exhibition tent</t>
  </si>
  <si>
    <t>fixing the curtain wall frames</t>
  </si>
  <si>
    <t>installation of the curtain wall frames</t>
  </si>
  <si>
    <t>plumbing works to help in work progress</t>
  </si>
  <si>
    <t>1) IPC Payment</t>
  </si>
  <si>
    <t>nil</t>
  </si>
  <si>
    <t>73</t>
  </si>
  <si>
    <t>Administration gate cladding works</t>
  </si>
  <si>
    <t>IPC payment</t>
  </si>
  <si>
    <t>74</t>
  </si>
  <si>
    <t>Store 1 cladding works.</t>
  </si>
  <si>
    <t>123,000,000</t>
  </si>
  <si>
    <t>98,000,000</t>
  </si>
  <si>
    <t>cladding fixing and frames assembling</t>
  </si>
  <si>
    <t>finished cladding works</t>
  </si>
  <si>
    <t>,IPC payment</t>
  </si>
  <si>
    <t>75</t>
  </si>
  <si>
    <t>packaging cladding works and glass partition</t>
  </si>
  <si>
    <t>6,000,000</t>
  </si>
  <si>
    <t>cladding works and glass partition in packaging</t>
  </si>
  <si>
    <t>fixing iron sheets</t>
  </si>
  <si>
    <t>76</t>
  </si>
  <si>
    <t>Cosmetics cladding</t>
  </si>
  <si>
    <t>80,000,000</t>
  </si>
  <si>
    <t>panel cladding</t>
  </si>
  <si>
    <t>remaining to to fix ironsheets</t>
  </si>
  <si>
    <t>77</t>
  </si>
  <si>
    <t>Roastrty Lab area glass roof</t>
  </si>
  <si>
    <t>installation of the yellow panels and aluminium partition for the lab area</t>
  </si>
  <si>
    <t>78</t>
  </si>
  <si>
    <t>canopy front roastry</t>
  </si>
  <si>
    <t>79</t>
  </si>
  <si>
    <t>Cladding inside the roastry</t>
  </si>
  <si>
    <t>80</t>
  </si>
  <si>
    <t>cladding and glass partition coffee shop</t>
  </si>
  <si>
    <t>81</t>
  </si>
  <si>
    <t>Cladding for the fountain power house</t>
  </si>
  <si>
    <t>installation of the panels</t>
  </si>
  <si>
    <t>82</t>
  </si>
  <si>
    <t>Office block and wetmill cladding</t>
  </si>
  <si>
    <t>22,000,000</t>
  </si>
  <si>
    <t>98%</t>
  </si>
  <si>
    <t>installation of the yellow panels and aluminium partition for the wetmill</t>
  </si>
  <si>
    <t>83</t>
  </si>
  <si>
    <t>Freeze dry ramp cladding</t>
  </si>
  <si>
    <t>no payment recieved</t>
  </si>
  <si>
    <t>84</t>
  </si>
  <si>
    <t>Stone masonry work below link 2 below dispatch. 3000m</t>
  </si>
  <si>
    <t>32,000,000</t>
  </si>
  <si>
    <t>85</t>
  </si>
  <si>
    <t>Finishing masonry wall(stone pointing)</t>
  </si>
  <si>
    <t>86</t>
  </si>
  <si>
    <t>Fixing culvertsand casting 3 manholes near cement store.</t>
  </si>
  <si>
    <t>casting manholes</t>
  </si>
  <si>
    <t>fixing culverts and casting,casting manholes,</t>
  </si>
  <si>
    <t>adequate murram,IPC payment</t>
  </si>
  <si>
    <t>14/06/2026</t>
  </si>
  <si>
    <t>making manhole covers ,backfilling.</t>
  </si>
  <si>
    <t>87</t>
  </si>
  <si>
    <t>Building edges ,store leveling,fixing culverts,casting edges with retaining wall(CEO residence)</t>
  </si>
  <si>
    <t>17,000,000</t>
  </si>
  <si>
    <t>75%</t>
  </si>
  <si>
    <t>culverts,IPC payment</t>
  </si>
  <si>
    <t>88</t>
  </si>
  <si>
    <t>Fixing culverts and 4 manhole covers in NYABIHOKO</t>
  </si>
  <si>
    <t>missing culverts,aggregate,sand</t>
  </si>
  <si>
    <t>28/06/2026</t>
  </si>
  <si>
    <t>building headwalls,fixing culverts.</t>
  </si>
  <si>
    <t>89</t>
  </si>
  <si>
    <t>Stone pitching and curbstones,near cement store.</t>
  </si>
  <si>
    <t>28,500,000</t>
  </si>
  <si>
    <t>hardcore,IPC payment</t>
  </si>
  <si>
    <t>20/07/2026</t>
  </si>
  <si>
    <t>stone pitching</t>
  </si>
  <si>
    <t>90</t>
  </si>
  <si>
    <t>JOSIRA ENGINEERING SERVICES.</t>
  </si>
  <si>
    <t>Construction of concrete U drain at ring road 1 (375m)</t>
  </si>
  <si>
    <t>130,000,000</t>
  </si>
  <si>
    <t>Casting concrete for base and side walls</t>
  </si>
  <si>
    <t>Delayed payments, Delay in  material delivery</t>
  </si>
  <si>
    <t>1) IPC Payment  of 60M</t>
  </si>
  <si>
    <t>2nd June 2026</t>
  </si>
  <si>
    <t>casting concrete for base and side walls on the remaining 10%</t>
  </si>
  <si>
    <t>91</t>
  </si>
  <si>
    <t>Stone pitching U drain from academy to Helipad road(305m)</t>
  </si>
  <si>
    <t>Delayed material supply of hard core</t>
  </si>
  <si>
    <t>17th June 2026</t>
  </si>
  <si>
    <t>Stone pitching embarkment and back slope walls and casting base</t>
  </si>
  <si>
    <t>92</t>
  </si>
  <si>
    <t>Construction of concrete drainage at left hand side and stone pitching drainage at right hand side at CEO road</t>
  </si>
  <si>
    <t>12%</t>
  </si>
  <si>
    <t>2nd July 2026</t>
  </si>
  <si>
    <t>excavations, blinding, formwork, Stone pitching work and casting concrete</t>
  </si>
  <si>
    <t>93</t>
  </si>
  <si>
    <t>514 GABION BOXES OF (2X1X1) INSTALLATION AT THE TANK HILL INCLUDING TRANSPORTATION OF HARD CORE FROM NYABIHOKO</t>
  </si>
  <si>
    <t>61,680,000</t>
  </si>
  <si>
    <t>94</t>
  </si>
  <si>
    <t>360 GABION BOXES OF (2X1X1) INSTALLATION AT THE FOOTBALL PITCH AND LINK ROAD 7  INCLUDING TRANSPORTATION OF HARD CORE FROM NYABIHOKO</t>
  </si>
  <si>
    <t>42,000,000</t>
  </si>
  <si>
    <t>95</t>
  </si>
  <si>
    <t>275 GABION BOXES OF (2X1X1) INSTALLATION NEAR DRY MILL AND SILO  INCLUDING TRANSPORTATION OF HARD CORE FROM NYABIHOKO</t>
  </si>
  <si>
    <t>32,940,000</t>
  </si>
  <si>
    <t>96</t>
  </si>
  <si>
    <t>PROPOSED Retaining WALL AT THE MAIN GATE (60MX2.3M)</t>
  </si>
  <si>
    <t>97</t>
  </si>
  <si>
    <t>STONE PITCHING FOR THE DRAINAGE CHANNEL AT THE MOSQUE</t>
  </si>
  <si>
    <t>36,000,000</t>
  </si>
  <si>
    <t>98</t>
  </si>
  <si>
    <t xml:space="preserve">INSPIRE </t>
  </si>
  <si>
    <t>BLOCK MAKING MACHINE</t>
  </si>
  <si>
    <t>machine maintenance and repair</t>
  </si>
  <si>
    <t>produced 4674 blocks</t>
  </si>
  <si>
    <t>machine needs overall maintenance and repair</t>
  </si>
  <si>
    <t>stone chips and cement</t>
  </si>
  <si>
    <t>production of 18000 blocks</t>
  </si>
  <si>
    <t>99</t>
  </si>
  <si>
    <t>STONE CRUSHER</t>
  </si>
  <si>
    <t>STEEL WORKS FOR THE RETAINING WALL</t>
  </si>
  <si>
    <t>CASTING OF STRIP FOUNDATION PADS AND COLUMNS</t>
  </si>
  <si>
    <t>DELAY OF MATERIALS</t>
  </si>
  <si>
    <t>EMBEDDED PLATS</t>
  </si>
  <si>
    <t>JULY</t>
  </si>
  <si>
    <t>INSTALLUTION OF MACHINE CRUSHER</t>
  </si>
  <si>
    <t>100</t>
  </si>
  <si>
    <t>Booster tanks</t>
  </si>
  <si>
    <t>35%</t>
  </si>
  <si>
    <t>Curing the tank slabs</t>
  </si>
  <si>
    <t>casting slabs</t>
  </si>
  <si>
    <t>procurement of bricks rate should be revised</t>
  </si>
  <si>
    <t>20th june 2026</t>
  </si>
  <si>
    <t>Walling, steelwork and finishes</t>
  </si>
  <si>
    <t>101</t>
  </si>
  <si>
    <t>Generator and Guard house</t>
  </si>
  <si>
    <t>construction of the splash apron</t>
  </si>
  <si>
    <t>Brick workup to the wallplate</t>
  </si>
  <si>
    <t>Delay of materials</t>
  </si>
  <si>
    <t>increased speed in material delivery</t>
  </si>
  <si>
    <t>Roofing,plastering and painting</t>
  </si>
  <si>
    <t>102</t>
  </si>
  <si>
    <t>Toilet</t>
  </si>
  <si>
    <t>Plastering of the sub structure</t>
  </si>
  <si>
    <t>Brick work up to the slab level, plastering</t>
  </si>
  <si>
    <t>slab casting, walling and roofing</t>
  </si>
  <si>
    <t>103</t>
  </si>
  <si>
    <t>Stone pitching</t>
  </si>
  <si>
    <t>retaining wall construction</t>
  </si>
  <si>
    <t>104</t>
  </si>
  <si>
    <t>fencing</t>
  </si>
  <si>
    <t>Fencing</t>
  </si>
  <si>
    <t>105</t>
  </si>
  <si>
    <t>Booster pump house</t>
  </si>
  <si>
    <t>Brickwork and finishes</t>
  </si>
  <si>
    <t>106</t>
  </si>
  <si>
    <t>Intake chamber.</t>
  </si>
  <si>
    <t>5%</t>
  </si>
  <si>
    <t>demobilisation of an excavator from the site before finishing excavation</t>
  </si>
  <si>
    <t>Machinery controlled should be given to the contractor when working on his site</t>
  </si>
  <si>
    <t>Casting slabs and walls</t>
  </si>
  <si>
    <t>107</t>
  </si>
  <si>
    <t>weir</t>
  </si>
  <si>
    <t>delay of diversion of the river</t>
  </si>
  <si>
    <t>An excavator to be given enough time to divert the river</t>
  </si>
  <si>
    <t>Diversion of the river and construction of the weir</t>
  </si>
  <si>
    <t>108</t>
  </si>
  <si>
    <t>Generator and pump house</t>
  </si>
  <si>
    <t>109</t>
  </si>
  <si>
    <t>Excavation/ trenching</t>
  </si>
  <si>
    <t>Trenching in kabuhungu hill</t>
  </si>
  <si>
    <t>Trenching along kahengye Kakiika road.</t>
  </si>
  <si>
    <t>Delay of equipment like backhoe and highup vehicle</t>
  </si>
  <si>
    <t>dedicate more days for the back hoe to work in water project</t>
  </si>
  <si>
    <t>20th july 2026</t>
  </si>
  <si>
    <t>Finishing excavation</t>
  </si>
  <si>
    <t>110</t>
  </si>
  <si>
    <t>Laying of the pipes</t>
  </si>
  <si>
    <t>Laying and backfilling of pipes along kahengye Kakiika road.</t>
  </si>
  <si>
    <t>Finishing laying of pipes and pressure testing</t>
  </si>
  <si>
    <t>111</t>
  </si>
  <si>
    <t xml:space="preserve">MAKOONA </t>
  </si>
  <si>
    <t>contract 1
1) 2 warehouse storage 
2)Wet mill
3) Dry mill
4)cosmetics , Holding area at packagining , Evaporator , Extraction , Boiler , spray dry &amp; canteen</t>
  </si>
  <si>
    <t>170,000,000</t>
  </si>
  <si>
    <t>1) IAG</t>
  </si>
  <si>
    <t>112</t>
  </si>
  <si>
    <t>contract 2
1) Evaporator staircase
2) Dismantling main gate
3) Steam line support 
4) stand tank at boiler 
5) Top up of gas cutting</t>
  </si>
  <si>
    <t>113</t>
  </si>
  <si>
    <t>contract 3
1) 2 roller shutter for the power house
2) Fabrication of the gate at extraction
3) Extension of the roof at freeze dry</t>
  </si>
  <si>
    <t>21,000,000</t>
  </si>
  <si>
    <t>114</t>
  </si>
  <si>
    <t>Nyabihoko project &amp; spent tank</t>
  </si>
  <si>
    <t>47,500,000</t>
  </si>
  <si>
    <t>115</t>
  </si>
  <si>
    <t>contract 5
1) silos 
2) pitch 
3) door at guest house</t>
  </si>
  <si>
    <t>15,500,000</t>
  </si>
  <si>
    <t>116</t>
  </si>
  <si>
    <t>Wood shed 1</t>
  </si>
  <si>
    <t>1.06.2026</t>
  </si>
  <si>
    <t>1) Inspire</t>
  </si>
  <si>
    <t>117</t>
  </si>
  <si>
    <t>wood shed 2</t>
  </si>
  <si>
    <t>118</t>
  </si>
  <si>
    <t>Re-roofing at admin block</t>
  </si>
  <si>
    <t>119</t>
  </si>
  <si>
    <t>Fabrication of admin platform and dismantling , frames and flag tower</t>
  </si>
  <si>
    <t>120</t>
  </si>
  <si>
    <t>Fabrication of two billboards</t>
  </si>
  <si>
    <t>121</t>
  </si>
  <si>
    <t>Fabrication , installing ,supplying the fixing bolts for flags &amp; flyers</t>
  </si>
  <si>
    <t>122</t>
  </si>
  <si>
    <t>Fabrication and roofing at husk house</t>
  </si>
  <si>
    <t>07.06.2026</t>
  </si>
  <si>
    <t>123</t>
  </si>
  <si>
    <t>Fabrication of bases for the foundation of dryer at nyabihoko</t>
  </si>
  <si>
    <t>124</t>
  </si>
  <si>
    <t>NEW CONTRACTS</t>
  </si>
  <si>
    <t>125</t>
  </si>
  <si>
    <t>Cement store</t>
  </si>
  <si>
    <t>20.06.2026</t>
  </si>
  <si>
    <t>1.06.2028</t>
  </si>
  <si>
    <t>126</t>
  </si>
  <si>
    <t>Residential House</t>
  </si>
  <si>
    <t>16,667,000</t>
  </si>
  <si>
    <t>127</t>
  </si>
  <si>
    <t>Construction offices</t>
  </si>
  <si>
    <t>4,445,000</t>
  </si>
  <si>
    <t>128</t>
  </si>
  <si>
    <t>Dinning house</t>
  </si>
  <si>
    <t>17,850,000</t>
  </si>
  <si>
    <t>129</t>
  </si>
  <si>
    <t>Agricultural offices</t>
  </si>
  <si>
    <t>4,450,000</t>
  </si>
  <si>
    <t>130</t>
  </si>
  <si>
    <t>Kitchen</t>
  </si>
  <si>
    <t>131</t>
  </si>
  <si>
    <t xml:space="preserve">NOWERA </t>
  </si>
  <si>
    <t>Freeze dry</t>
  </si>
  <si>
    <t>halted</t>
  </si>
  <si>
    <t xml:space="preserve">Nil </t>
  </si>
  <si>
    <t>financial support</t>
  </si>
  <si>
    <t>halted project</t>
  </si>
  <si>
    <t xml:space="preserve">1) complete blockwork
2) plastering and rendering
3)complete roofing works
4)M&amp;E WORKS 
</t>
  </si>
  <si>
    <t>132</t>
  </si>
  <si>
    <t>Abbatoir</t>
  </si>
  <si>
    <t xml:space="preserve">1) plastering 
2) rendering
3) roofing
4)M&amp;E WORKS 
</t>
  </si>
  <si>
    <t>133</t>
  </si>
  <si>
    <t>Fertilizer shade</t>
  </si>
  <si>
    <t>ongoing</t>
  </si>
  <si>
    <t>steelworks, formwork and casting for the top beam</t>
  </si>
  <si>
    <t>1)external blockwork 90%</t>
  </si>
  <si>
    <t xml:space="preserve">1) accelerate work to improve out put
</t>
  </si>
  <si>
    <t>1) steel works, casting of top beams for both structures
2)plastering and rendering  
3)construction of louvres at the fermentation shade</t>
  </si>
  <si>
    <t>134</t>
  </si>
  <si>
    <t>retaining walls</t>
  </si>
  <si>
    <t>steelworks and formworks for the beam to the retaining wall at fertilizer shade</t>
  </si>
  <si>
    <t>low workmanship</t>
  </si>
  <si>
    <t>1) speed up work</t>
  </si>
  <si>
    <t>1) casting of the intermediate beam
2) continued stone pitching
3)  casting the top beam
4)coping</t>
  </si>
  <si>
    <t>capsules and A-shaped units</t>
  </si>
  <si>
    <t>roof finishes at capsulesfor unit 9</t>
  </si>
  <si>
    <t>completed roof finishes for unit 6,7,8</t>
  </si>
  <si>
    <t>low workmanship and inadequate tools like silicon guns and hand drills</t>
  </si>
  <si>
    <t>1) approval of the variation at the A-Shaped units</t>
  </si>
  <si>
    <t xml:space="preserve">1) complete all roof finishes
2) finish all glass installations
3) installing floor tiles
4)M&amp;E WORKS 
</t>
  </si>
  <si>
    <t>136</t>
  </si>
  <si>
    <t xml:space="preserve">BAM </t>
  </si>
  <si>
    <t xml:space="preserve">Academy </t>
  </si>
  <si>
    <t>Ground &amp; Firsts Floors (Slab works, columns, beams, Retaining walls etc. )</t>
  </si>
  <si>
    <t xml:space="preserve">First floor slab 70%
Columns for the First Floor </t>
  </si>
  <si>
    <t xml:space="preserve">1) Materials supply 
2) Structural and M&amp;E drawings challenges
3) Contractual document availability  4) Low work force and recycling of labour </t>
  </si>
  <si>
    <t>1)Enhance and expedite 
2) Consultant to expedite their availability to avoid Reworks 
3)Updated contractual documents to be availed  
4Mobilise more labourers</t>
  </si>
  <si>
    <t>30.9.26</t>
  </si>
  <si>
    <t xml:space="preserve">1) Shell completion 
2) Walling commencement and plastering 
</t>
  </si>
  <si>
    <t>137</t>
  </si>
  <si>
    <t xml:space="preserve">Convention </t>
  </si>
  <si>
    <t xml:space="preserve">Retaining walls 
Columns
Water proofing </t>
  </si>
  <si>
    <t xml:space="preserve">Earth works 
Retaining walls 15%
Mini convention drawings </t>
  </si>
  <si>
    <t xml:space="preserve">1) Materials supply 
2) Structural and M&amp;E drawings challenges
3) Contractual document availability
4)Equipment Availability   
5) Low work force and Recycling of Labour </t>
  </si>
  <si>
    <t xml:space="preserve">1)Enhance and expedite 
2) Consultant to expedite their availability to avoid Reworks 
3)Updated contractual documents to be availed  
4)Inspire to work on internal planning for equipment </t>
  </si>
  <si>
    <t>28.2.27</t>
  </si>
  <si>
    <t>1) Completion of the Retaining walls  
2) Water proofing and Backfilling 
3) Structural Drawings completion</t>
  </si>
  <si>
    <t>138</t>
  </si>
  <si>
    <t xml:space="preserve">Dispatch Retaining walls </t>
  </si>
  <si>
    <t xml:space="preserve">Retaining walls </t>
  </si>
  <si>
    <t xml:space="preserve">1) Materials supply 
2) Structural and M&amp;E drawings challenges
3) Contractual document availability  </t>
  </si>
  <si>
    <t xml:space="preserve">1)Enhance and expedite 
2) Consultant to expedite their availability to avoid Reworks 
3)Updated contractual documents to be availed  </t>
  </si>
  <si>
    <t>30.9.28</t>
  </si>
  <si>
    <t>139</t>
  </si>
  <si>
    <t>30.9.29</t>
  </si>
  <si>
    <t xml:space="preserve">Cargolift </t>
  </si>
  <si>
    <t>Retaining Wall</t>
  </si>
  <si>
    <t>- Casting of walls
- Casting of staircases</t>
  </si>
  <si>
    <t>1. Low workforce
2. Delayed material supply
3. Delays
4. Lack of complete structural drawings</t>
  </si>
  <si>
    <t>1. Complete set of drawings to be completed 
2. Contractor to do housekeeping at the working area
3)Increase on Manpower</t>
  </si>
  <si>
    <t>30-Jun-2026</t>
  </si>
  <si>
    <t>Completion of the structure</t>
  </si>
  <si>
    <t>Pavilion Works</t>
  </si>
  <si>
    <t>2%</t>
  </si>
  <si>
    <t>Hardcore placing in the substructure</t>
  </si>
  <si>
    <t>- Completion of earthworks
- Commencement of substructure works</t>
  </si>
  <si>
    <t>1. Equipment availability
2. Material availability
3. Low manpower
4. Lack of complete set of drawings</t>
  </si>
  <si>
    <t>1. Inspire to avail materials and equipment on time
2. Structural &amp; architectural designer to avail drawings on time
3. BAM to increase manpower</t>
  </si>
  <si>
    <t>30-Sep-2026</t>
  </si>
  <si>
    <t>Completion of the substructure</t>
  </si>
  <si>
    <t>Inspire</t>
  </si>
  <si>
    <t>Construction of a Runway</t>
  </si>
  <si>
    <t>1. Cut and fill for the runway
2. Excavation for the drainage system</t>
  </si>
  <si>
    <t>- Geotextile and rock fill at the airstrip runway plus geogrids
- Cut and fill for the airstrip runway
- Rock stockpiling at Stavide Stone Quarry
- Stockpiling G3 material for fill at the runway
- Completion of the design for the runway</t>
  </si>
  <si>
    <t>1. Weather-related challenges affecting movement of equipment
2. Continuous breakdown of equipment
3. Lack of petty cash on-site</t>
  </si>
  <si>
    <t>1. Stockpiling of materials to curb weather challenges
2. Establish an in-house mechanical team and servicing centre to manage trucks and equipment
3. Avail a service/recovery truck on site</t>
  </si>
  <si>
    <t>30-Jun-2027</t>
  </si>
  <si>
    <t>1. Placement of geotextile and geogrids
2. Hardcore placing
3. Stockpiling of fill material
4. Cut and fill for the runway to completion
5. Commencement of drainage structure works
6. Completion of the designs</t>
  </si>
  <si>
    <t xml:space="preserve">Sate Builders </t>
  </si>
  <si>
    <t>Proposed Lakeside Resort Hotel</t>
  </si>
  <si>
    <t xml:space="preserve">Excavation for footings
Geotechnical investigation
Blinding, steel works and RC works
</t>
  </si>
  <si>
    <t xml:space="preserve">Excavation works 
Mobilisation </t>
  </si>
  <si>
    <t xml:space="preserve">1) Incomplete designs (Unsatisfactory Structural design)
2) Producing drawings without a geotechnical investigation report given the site challenges 
3) Delay in complying to the consultants requirements </t>
  </si>
  <si>
    <t xml:space="preserve">1) Completion of the designs 
2) Expediting the geotechnical reports 
3) Contractor to do speedy responses to consultants demand </t>
  </si>
  <si>
    <t xml:space="preserve">1)Shell completion </t>
  </si>
  <si>
    <t>INSPIRE AFRICA GROUP – CONSTRUCTION DEPARTMENT  |  WORK PROGRAMME</t>
  </si>
  <si>
    <t>MAY 2026 STATUS  |  Prepared by: Construction Department  |  Date: June 2026</t>
  </si>
  <si>
    <t>Project Details</t>
  </si>
  <si>
    <t>Progress
(%)</t>
  </si>
  <si>
    <t>Proposed Commencement /
Resumption Date</t>
  </si>
  <si>
    <t>Proposed
Completion Date</t>
  </si>
  <si>
    <t>Duration
(Days/Estimate)</t>
  </si>
  <si>
    <t>Interventions
Required</t>
  </si>
  <si>
    <t>Responsible Person
for Intervention</t>
  </si>
  <si>
    <t>Target Date
for Intervention</t>
  </si>
  <si>
    <t>TBD</t>
  </si>
  <si>
    <t>Procurement / Site Manager</t>
  </si>
  <si>
    <t>Upon payment / material delivery</t>
  </si>
  <si>
    <t>2 weeks from date</t>
  </si>
  <si>
    <t>Consulting Engineers / PM</t>
  </si>
  <si>
    <t>TBD – awaiting instruction</t>
  </si>
  <si>
    <t>Project Manager / Site Engineer</t>
  </si>
  <si>
    <t>Immediate / 1 week</t>
  </si>
  <si>
    <t>0.65</t>
  </si>
  <si>
    <t>0.52</t>
  </si>
  <si>
    <t>0.75</t>
  </si>
  <si>
    <t>1) accelerate work to improve out put</t>
  </si>
  <si>
    <t>0.54</t>
  </si>
  <si>
    <t>Academy (Ground &amp; First Floors – Slab works, columns, beams, retaining walls)</t>
  </si>
  <si>
    <t>Materials supply; Structural and M&amp;E drawings challenges; Contractual document availability; Low workforce</t>
  </si>
  <si>
    <t>Enhance and expedite; Consultant to expedite to avoid reworks; Updated contractual documents to be availed; Mobilise more labourers</t>
  </si>
  <si>
    <t>Consulting Engineers / PM / Site Engineer</t>
  </si>
  <si>
    <t>Convention Centre (Retaining walls, columns, waterproofing)</t>
  </si>
  <si>
    <t>28-Feb-2027</t>
  </si>
  <si>
    <t>Materials supply; Structural and M&amp;E drawings challenges; Contractual document availability; Equipment availability; Low workforce</t>
  </si>
  <si>
    <t>Enhance and expedite; Consultant to expedite; Updated contractual documents; Inspire to plan internal equipment</t>
  </si>
  <si>
    <t>Dispatch Retaining Walls</t>
  </si>
  <si>
    <t>30-Sep-2028</t>
  </si>
  <si>
    <t>Materials supply; Structural and M&amp;E drawings challenges; Contractual document availability</t>
  </si>
  <si>
    <t>Enhance and expedite; Consultant to expedite; Updated contractual documents</t>
  </si>
  <si>
    <t>Cargolift (Retaining wall structure)</t>
  </si>
  <si>
    <t>Low workforce; Delayed material supply; Lack of complete structural drawings</t>
  </si>
  <si>
    <t>Complete set of drawings; Contractor to improve site housekeeping; Increase manpower</t>
  </si>
  <si>
    <t>PM / Site Engineer</t>
  </si>
  <si>
    <t>Pavilion Works (Hardcore placing, substructure)</t>
  </si>
  <si>
    <t>Equipment availability; Material availability; Low manpower; Lack of complete set of drawings</t>
  </si>
  <si>
    <t>Inspire to avail materials and equipment on time; Structural designer to avail drawings; BAM to increase manpower</t>
  </si>
  <si>
    <t>Construction of a Runway (Cut and fill, drainage excavation)</t>
  </si>
  <si>
    <t>Weather-related challenges; Continuous equipment breakdowns; Lack of petty cash on-site</t>
  </si>
  <si>
    <t>Stockpile materials; Establish in-house mechanical team; Avail service/recovery truck on site</t>
  </si>
  <si>
    <t>Proposed Lakeside Resort Hotel (Excavation for footings, geotechnical investigation, blinding, steel works and RC works)</t>
  </si>
  <si>
    <t>3%</t>
  </si>
  <si>
    <t>Incomplete designs (unsatisfactory structural design); Producing drawings without geotechnical investigation report; Delays in complying with consultant requirements</t>
  </si>
  <si>
    <t>Completion of designs; Expediting geotechnical reports; Contractor to provide speedy responses to consultant demands</t>
  </si>
  <si>
    <t>INSPIRE AFRICA GROUP – VERIFIED CONTRACTORS: VALUE OF WORKS</t>
  </si>
  <si>
    <t xml:space="preserve">Talemwa Job </t>
  </si>
  <si>
    <t>Verified Approved for payment bay consultant on 09/05/2026</t>
  </si>
  <si>
    <t>Matovu Vincent  Engineering</t>
  </si>
  <si>
    <t xml:space="preserve">Asiimwe Emmy - Mwinos </t>
  </si>
  <si>
    <t xml:space="preserve">Ainebyona Investments </t>
  </si>
  <si>
    <t xml:space="preserve">Kyambogo Ian Face brick Installation </t>
  </si>
  <si>
    <t xml:space="preserve">To be given materials to finish works, Value of works doen is equivalent to amount paid </t>
  </si>
  <si>
    <t xml:space="preserve">Arinaitwe David Kazoora </t>
  </si>
  <si>
    <t xml:space="preserve">Alex Matwa </t>
  </si>
  <si>
    <t xml:space="preserve">Wambogo Samson </t>
  </si>
  <si>
    <t xml:space="preserve">Mubajje Sulah </t>
  </si>
  <si>
    <t xml:space="preserve">Alex Carpenter </t>
  </si>
  <si>
    <t xml:space="preserve">Segawa Peter </t>
  </si>
  <si>
    <t xml:space="preserve">Omollo Maurice </t>
  </si>
  <si>
    <t xml:space="preserve">TOTAL </t>
  </si>
  <si>
    <t>INSPIRE AFRICA GROUP – ENGINEERING &amp; CONSULTANCY WORKS | MAY 2026</t>
  </si>
  <si>
    <t>Detailed Hydrological Analysis and Hydraulic Design for Storm Water Drainage System for the Coffee Airport</t>
  </si>
  <si>
    <t>Design of a Lakeside Resort at Nyabihoko</t>
  </si>
  <si>
    <t>Design of Access Road to the Airport</t>
  </si>
  <si>
    <t>Quantitative Surveying Consultancy</t>
  </si>
  <si>
    <t xml:space="preserve">Workmanship &amp; Quality </t>
  </si>
  <si>
    <t xml:space="preserve">Most contractors have demonstrated unsatisfactory workmanship 
Poor sand deliverec at site </t>
  </si>
  <si>
    <t>All contractors</t>
  </si>
  <si>
    <t xml:space="preserve">1) Establish weekly quality meetings, trainings, hire 2 Civil Engineers (Undergraduate one for Nyabihoko and 1 for ACP) to support the technicians on ground
2) Hire competent contrcators 
3) Have alternative sources for contractors </t>
  </si>
  <si>
    <t xml:space="preserve">Procurement /PM </t>
  </si>
  <si>
    <t xml:space="preserve">Financial/Value for money </t>
  </si>
  <si>
    <t xml:space="preserve">Inspire </t>
  </si>
  <si>
    <t xml:space="preserve">Absentia of bidding for projects hence at times awarding contrcats at premium prices with some times overpaying </t>
  </si>
  <si>
    <t xml:space="preserve">1) Engineers estimates should be used for benchmarking
2) Bidding protocols should be adopted and a committee setup for award </t>
  </si>
  <si>
    <t>CEO/PM</t>
  </si>
  <si>
    <t xml:space="preserve">Undefined scope and lack of proper documents </t>
  </si>
  <si>
    <t xml:space="preserve">Most contracts lack defined scope thus difficult to administer </t>
  </si>
  <si>
    <t xml:space="preserve">1) CEO to intervene 
2) Proper contrcats to be authored moving forward </t>
  </si>
  <si>
    <t>CEO/GM//PM</t>
  </si>
  <si>
    <t>Finance / CEO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</si>
</sst>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64" formatCode="m/d/yyyy"/>
    <numFmt numFmtId="165" formatCode="_(* #,##0_);_(* \(#,##0\);_(* \-_);_(@_)"/>
  </numFmts>
  <fonts count="33" x14ac:knownFonts="1">
    <font>
      <sz val="11"/>
      <color theme="1"/>
      <name val="Calibri"/>
      <family val="2"/>
      <charset val="1"/>
    </font>
    <font>
      <sz val="11"/>
      <color theme="1"/>
      <name val="Calibri"/>
      <family val="2"/>
      <scheme val="minor"/>
    </font>
    <font>
      <sz val="10"/>
      <name val="Arial"/>
      <family val="2"/>
    </font>
    <font>
      <b/>
      <sz val="9"/>
      <color rgb="FFFFFFFF"/>
      <name val="Arial"/>
      <family val="2"/>
    </font>
    <font>
      <b/>
      <sz val="9"/>
      <name val="Arial"/>
      <family val="2"/>
    </font>
    <font>
      <sz val="9"/>
      <name val="Arial"/>
      <family val="2"/>
    </font>
    <font>
      <b/>
      <sz val="9"/>
      <color rgb="FFC0392B"/>
      <name val="Arial"/>
      <family val="2"/>
    </font>
    <font>
      <b/>
      <sz val="9"/>
      <color rgb="FF9A7D0A"/>
      <name val="Arial"/>
      <family val="2"/>
    </font>
    <font>
      <b/>
      <sz val="9"/>
      <color rgb="FF1E8449"/>
      <name val="Arial"/>
      <family val="2"/>
    </font>
    <font>
      <b/>
      <sz val="14"/>
      <color rgb="FFFFFFFF"/>
      <name val="Arial"/>
      <family val="2"/>
    </font>
    <font>
      <b/>
      <sz val="10"/>
      <color rgb="FFFFFFFF"/>
      <name val="Arial"/>
      <family val="2"/>
    </font>
    <font>
      <b/>
      <sz val="9"/>
      <color rgb="FF1A4731"/>
      <name val="Arial"/>
      <family val="2"/>
    </font>
    <font>
      <b/>
      <sz val="9"/>
      <color rgb="FF1A5276"/>
      <name val="Arial"/>
      <family val="2"/>
    </font>
    <font>
      <b/>
      <sz val="9"/>
      <color rgb="FF566573"/>
      <name val="Arial"/>
      <family val="2"/>
    </font>
    <font>
      <sz val="10"/>
      <name val="Arial"/>
      <family val="2"/>
    </font>
    <font>
      <i/>
      <sz val="10"/>
      <color rgb="FFFFFFFF"/>
      <name val="Arial"/>
      <family val="2"/>
    </font>
    <font>
      <b/>
      <sz val="9"/>
      <color rgb="FF000000"/>
      <name val="Arial"/>
      <family val="2"/>
    </font>
    <font>
      <b/>
      <sz val="9"/>
      <color rgb="FF375623"/>
      <name val="Arial"/>
      <family val="2"/>
    </font>
    <font>
      <b/>
      <sz val="14"/>
      <color theme="1"/>
      <name val="Cambria"/>
      <family val="1"/>
    </font>
    <font>
      <sz val="14"/>
      <color theme="1"/>
      <name val="Cambria"/>
      <family val="1"/>
    </font>
    <font>
      <b/>
      <sz val="20"/>
      <color rgb="FFFFFFFF"/>
      <name val="Arial"/>
    </font>
    <font>
      <b/>
      <sz val="13"/>
      <color rgb="FFFFFFFF"/>
      <name val="Arial"/>
    </font>
    <font>
      <sz val="11"/>
      <color rgb="FF000000"/>
      <name val="Arial"/>
    </font>
    <font>
      <b/>
      <sz val="9"/>
      <color rgb="FFFFFFFF"/>
      <name val="Arial"/>
    </font>
    <font>
      <b/>
      <sz val="18"/>
      <color rgb="FFFFFFFF"/>
      <name val="Arial"/>
    </font>
    <font>
      <sz val="8"/>
      <color rgb="FFFFFFFF"/>
      <name val="Arial"/>
    </font>
    <font>
      <b/>
      <sz val="11"/>
      <color rgb="FFFFFFFF"/>
      <name val="Arial"/>
    </font>
    <font>
      <sz val="9"/>
      <color rgb="FF000000"/>
      <name val="Arial"/>
    </font>
    <font>
      <b/>
      <sz val="9"/>
      <color rgb="FF000000"/>
      <name val="Arial"/>
    </font>
    <font>
      <sz val="9"/>
      <color rgb="FFFFFFFF"/>
      <name val="Arial"/>
    </font>
    <font>
      <sz val="9"/>
      <name val="Arial"/>
    </font>
    <font>
      <b/>
      <sz val="12"/>
      <color rgb="FFFFFFFF"/>
      <name val="Arial"/>
    </font>
    <font>
      <sz val="9"/>
      <color rgb="FF000000"/>
      <name val="Arial"/>
      <family val="2"/>
    </font>
  </fonts>
  <fills count="26">
    <fill>
      <patternFill patternType="none"/>
    </fill>
    <fill>
      <patternFill patternType="gray125"/>
    </fill>
    <fill>
      <patternFill patternType="solid">
        <fgColor rgb="FF1A4731"/>
        <bgColor rgb="FF1A3A5C"/>
      </patternFill>
    </fill>
    <fill>
      <patternFill patternType="solid">
        <fgColor rgb="FF2E7D52"/>
        <bgColor rgb="FF1E8449"/>
      </patternFill>
    </fill>
    <fill>
      <patternFill patternType="solid">
        <fgColor rgb="FFD5F5E3"/>
        <bgColor rgb="FFD4EDDA"/>
      </patternFill>
    </fill>
    <fill>
      <patternFill patternType="solid">
        <fgColor rgb="FFD6EAF8"/>
        <bgColor rgb="FFD4EDDA"/>
      </patternFill>
    </fill>
    <fill>
      <patternFill patternType="solid">
        <fgColor rgb="FFFDECEA"/>
        <bgColor rgb="FFF2F3F4"/>
      </patternFill>
    </fill>
    <fill>
      <patternFill patternType="solid">
        <fgColor rgb="FFFEF9E7"/>
        <bgColor rgb="FFF2F8F5"/>
      </patternFill>
    </fill>
    <fill>
      <patternFill patternType="solid">
        <fgColor rgb="FFF2F8F5"/>
        <bgColor rgb="FFF2F3F4"/>
      </patternFill>
    </fill>
    <fill>
      <patternFill patternType="solid">
        <fgColor rgb="FFFFFFFF"/>
        <bgColor rgb="FFFEF9E7"/>
      </patternFill>
    </fill>
    <fill>
      <patternFill patternType="solid">
        <fgColor rgb="FFF2F3F4"/>
        <bgColor rgb="FFF2F8F5"/>
      </patternFill>
    </fill>
    <fill>
      <patternFill patternType="solid">
        <fgColor rgb="FFD6E4F0"/>
      </patternFill>
    </fill>
    <fill>
      <patternFill patternType="solid">
        <fgColor rgb="FFE2EFDA"/>
      </patternFill>
    </fill>
    <fill>
      <patternFill patternType="solid">
        <fgColor rgb="FFFFFFFF"/>
      </patternFill>
    </fill>
    <fill>
      <patternFill patternType="solid">
        <fgColor rgb="FF1F3864"/>
      </patternFill>
    </fill>
    <fill>
      <patternFill patternType="solid">
        <fgColor rgb="FF2E75B6"/>
      </patternFill>
    </fill>
    <fill>
      <patternFill patternType="solid">
        <fgColor rgb="FFD6E4F0"/>
      </patternFill>
    </fill>
    <fill>
      <patternFill patternType="solid">
        <fgColor rgb="FF375623"/>
      </patternFill>
    </fill>
    <fill>
      <patternFill patternType="solid">
        <fgColor rgb="FFC55A11"/>
      </patternFill>
    </fill>
    <fill>
      <patternFill patternType="solid">
        <fgColor rgb="FFBF8F00"/>
      </patternFill>
    </fill>
    <fill>
      <patternFill patternType="solid">
        <fgColor rgb="FFF2F7FC"/>
      </patternFill>
    </fill>
    <fill>
      <patternFill patternType="solid">
        <fgColor rgb="FFFFFFFF"/>
      </patternFill>
    </fill>
    <fill>
      <patternFill patternType="solid">
        <fgColor rgb="FFFCE4D6"/>
      </patternFill>
    </fill>
    <fill>
      <patternFill patternType="solid">
        <fgColor rgb="FFFFF2CC"/>
      </patternFill>
    </fill>
    <fill>
      <patternFill patternType="solid">
        <fgColor rgb="FFFFD7D7"/>
      </patternFill>
    </fill>
    <fill>
      <patternFill patternType="solid">
        <f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5">
    <xf numFmtId="0" fontId="0" fillId="0" borderId="0"/>
    <xf numFmtId="41" fontId="14" fillId="0" borderId="0"/>
    <xf numFmtId="9" fontId="14" fillId="0" borderId="0"/>
    <xf numFmtId="165" fontId="14" fillId="0" borderId="0"/>
    <xf numFmtId="0" fontId="1" fillId="0" borderId="0"/>
  </cellStyleXfs>
  <cellXfs count="127">
    <xf numFmtId="0" fontId="0" fillId="0" borderId="0" xfId="0"/>
    <xf numFmtId="0" fontId="23" fillId="14" borderId="1" xfId="0" applyFont="1" applyFill="1" applyBorder="1" applyAlignment="1">
      <alignment horizontal="center" vertical="center" wrapText="1"/>
    </xf>
    <xf numFmtId="0" fontId="27" fillId="20" borderId="1" xfId="0" applyFont="1" applyFill="1" applyBorder="1" applyAlignment="1">
      <alignment horizontal="left" vertical="center" wrapText="1"/>
    </xf>
    <xf numFmtId="0" fontId="27" fillId="20" borderId="1" xfId="0" applyFont="1" applyFill="1" applyBorder="1" applyAlignment="1">
      <alignment horizontal="center" vertical="center" wrapText="1"/>
    </xf>
    <xf numFmtId="0" fontId="27" fillId="21" borderId="1" xfId="0" applyFont="1" applyFill="1" applyBorder="1" applyAlignment="1">
      <alignment horizontal="left" vertical="center" wrapText="1"/>
    </xf>
    <xf numFmtId="0" fontId="27" fillId="21" borderId="1" xfId="0" applyFont="1" applyFill="1" applyBorder="1" applyAlignment="1">
      <alignment horizontal="center" vertical="center" wrapText="1"/>
    </xf>
    <xf numFmtId="0" fontId="28" fillId="22" borderId="1" xfId="0" applyFont="1" applyFill="1" applyBorder="1" applyAlignment="1">
      <alignment horizontal="center" vertical="center" wrapText="1"/>
    </xf>
    <xf numFmtId="0" fontId="28" fillId="23" borderId="1" xfId="0" applyFont="1" applyFill="1" applyBorder="1" applyAlignment="1">
      <alignment horizontal="center" vertical="center" wrapText="1"/>
    </xf>
    <xf numFmtId="0" fontId="28" fillId="24" borderId="1" xfId="0" applyFont="1" applyFill="1" applyBorder="1" applyAlignment="1">
      <alignment horizontal="center" vertical="center" wrapText="1"/>
    </xf>
    <xf numFmtId="0" fontId="28" fillId="25" borderId="1" xfId="0" applyFont="1" applyFill="1" applyBorder="1" applyAlignment="1">
      <alignment horizontal="center" vertical="center" wrapText="1"/>
    </xf>
    <xf numFmtId="0" fontId="23" fillId="17" borderId="1" xfId="0" applyFont="1" applyFill="1" applyBorder="1" applyAlignment="1">
      <alignment horizontal="center" vertical="center" wrapText="1"/>
    </xf>
    <xf numFmtId="0" fontId="30" fillId="20" borderId="1" xfId="0" applyFont="1" applyFill="1" applyBorder="1" applyAlignment="1">
      <alignment horizontal="left" vertical="center" wrapText="1"/>
    </xf>
    <xf numFmtId="0" fontId="30" fillId="21" borderId="1" xfId="0" applyFont="1" applyFill="1" applyBorder="1" applyAlignment="1">
      <alignment horizontal="left" vertical="center" wrapText="1"/>
    </xf>
    <xf numFmtId="41" fontId="19" fillId="0" borderId="0" xfId="1" applyFont="1"/>
    <xf numFmtId="41" fontId="23" fillId="17" borderId="1" xfId="1" applyFont="1" applyFill="1" applyBorder="1" applyAlignment="1">
      <alignment horizontal="center" vertical="center" wrapText="1"/>
    </xf>
    <xf numFmtId="41" fontId="30" fillId="20" borderId="1" xfId="1" applyFont="1" applyFill="1" applyBorder="1" applyAlignment="1">
      <alignment horizontal="center" vertical="center" wrapText="1"/>
    </xf>
    <xf numFmtId="41" fontId="30" fillId="20" borderId="1" xfId="1" applyFont="1" applyFill="1" applyBorder="1" applyAlignment="1">
      <alignment horizontal="left" vertical="center" wrapText="1"/>
    </xf>
    <xf numFmtId="3" fontId="30" fillId="20" borderId="1" xfId="1" applyNumberFormat="1" applyFont="1" applyFill="1" applyBorder="1" applyAlignment="1">
      <alignment horizontal="right" vertical="center" wrapText="1"/>
    </xf>
    <xf numFmtId="41" fontId="30" fillId="21" borderId="1" xfId="1" applyFont="1" applyFill="1" applyBorder="1" applyAlignment="1">
      <alignment horizontal="center" vertical="center" wrapText="1"/>
    </xf>
    <xf numFmtId="41" fontId="30" fillId="21" borderId="1" xfId="1" applyFont="1" applyFill="1" applyBorder="1" applyAlignment="1">
      <alignment horizontal="left" vertical="center" wrapText="1"/>
    </xf>
    <xf numFmtId="3" fontId="30" fillId="21" borderId="1" xfId="1" applyNumberFormat="1" applyFont="1" applyFill="1" applyBorder="1" applyAlignment="1">
      <alignment horizontal="right" vertical="center" wrapText="1"/>
    </xf>
    <xf numFmtId="41" fontId="30" fillId="21" borderId="1" xfId="1" applyFont="1" applyFill="1" applyBorder="1" applyAlignment="1">
      <alignment horizontal="right" vertical="center" wrapText="1"/>
    </xf>
    <xf numFmtId="3" fontId="30" fillId="20" borderId="1" xfId="0" applyNumberFormat="1" applyFont="1" applyFill="1" applyBorder="1" applyAlignment="1">
      <alignment horizontal="right" vertical="center" wrapText="1"/>
    </xf>
    <xf numFmtId="0" fontId="0" fillId="0" borderId="1" xfId="0" applyBorder="1"/>
    <xf numFmtId="0" fontId="10" fillId="3"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9" fontId="11" fillId="9" borderId="1" xfId="3" applyNumberFormat="1" applyFont="1" applyFill="1" applyBorder="1" applyAlignment="1">
      <alignment horizontal="center" vertical="center" wrapText="1"/>
    </xf>
    <xf numFmtId="9" fontId="6" fillId="6" borderId="1" xfId="3" applyNumberFormat="1" applyFont="1" applyFill="1" applyBorder="1" applyAlignment="1">
      <alignment horizontal="center" vertical="center" wrapText="1"/>
    </xf>
    <xf numFmtId="9" fontId="5" fillId="9" borderId="1" xfId="3" applyNumberFormat="1" applyFont="1" applyFill="1" applyBorder="1" applyAlignment="1">
      <alignment horizontal="left" vertical="center" wrapText="1"/>
    </xf>
    <xf numFmtId="9" fontId="5" fillId="9" borderId="1" xfId="2" applyFont="1" applyFill="1" applyBorder="1" applyAlignment="1">
      <alignment horizontal="left" vertical="center" wrapText="1"/>
    </xf>
    <xf numFmtId="164" fontId="5" fillId="9" borderId="1" xfId="2" applyNumberFormat="1" applyFont="1" applyFill="1" applyBorder="1" applyAlignment="1">
      <alignment horizontal="left" vertical="center" wrapText="1"/>
    </xf>
    <xf numFmtId="9" fontId="11" fillId="8" borderId="1" xfId="2" applyFont="1" applyFill="1" applyBorder="1" applyAlignment="1">
      <alignment horizontal="center" vertical="center" wrapText="1"/>
    </xf>
    <xf numFmtId="9" fontId="6" fillId="6" borderId="1" xfId="2" applyFont="1" applyFill="1" applyBorder="1" applyAlignment="1">
      <alignment horizontal="center" vertical="center" wrapText="1"/>
    </xf>
    <xf numFmtId="9" fontId="5" fillId="8" borderId="1" xfId="2" applyFont="1" applyFill="1" applyBorder="1" applyAlignment="1">
      <alignment horizontal="left" vertical="center" wrapText="1"/>
    </xf>
    <xf numFmtId="9" fontId="5" fillId="8" borderId="1" xfId="3" applyNumberFormat="1" applyFont="1" applyFill="1" applyBorder="1" applyAlignment="1">
      <alignment horizontal="left" vertical="center" wrapText="1"/>
    </xf>
    <xf numFmtId="164" fontId="5" fillId="8" borderId="1" xfId="2" applyNumberFormat="1" applyFont="1" applyFill="1" applyBorder="1" applyAlignment="1">
      <alignment horizontal="left" vertical="center" wrapText="1"/>
    </xf>
    <xf numFmtId="9" fontId="11" fillId="9" borderId="1" xfId="2" applyFont="1" applyFill="1" applyBorder="1" applyAlignment="1">
      <alignment horizontal="center" vertical="center" wrapText="1"/>
    </xf>
    <xf numFmtId="9" fontId="12" fillId="5" borderId="1" xfId="2" applyFont="1" applyFill="1" applyBorder="1" applyAlignment="1">
      <alignment horizontal="center" vertical="center" wrapText="1"/>
    </xf>
    <xf numFmtId="9" fontId="11" fillId="8" borderId="1" xfId="0" applyNumberFormat="1" applyFont="1" applyFill="1" applyBorder="1" applyAlignment="1">
      <alignment horizontal="center" vertical="center" wrapText="1"/>
    </xf>
    <xf numFmtId="9" fontId="11" fillId="9" borderId="1" xfId="0" applyNumberFormat="1" applyFont="1" applyFill="1" applyBorder="1" applyAlignment="1">
      <alignment horizontal="center" vertical="center" wrapText="1"/>
    </xf>
    <xf numFmtId="0" fontId="5" fillId="13" borderId="1" xfId="4" applyFont="1" applyFill="1" applyBorder="1" applyAlignment="1">
      <alignment horizontal="center" vertical="center" wrapText="1"/>
    </xf>
    <xf numFmtId="0" fontId="5" fillId="13" borderId="1" xfId="4" applyFont="1" applyFill="1" applyBorder="1" applyAlignment="1">
      <alignment horizontal="left" vertical="center" wrapText="1"/>
    </xf>
    <xf numFmtId="0" fontId="4" fillId="13" borderId="1" xfId="4" applyFont="1" applyFill="1" applyBorder="1" applyAlignment="1">
      <alignment horizontal="center" vertical="center" wrapText="1"/>
    </xf>
    <xf numFmtId="0" fontId="17" fillId="12" borderId="1" xfId="4" applyFont="1" applyFill="1" applyBorder="1" applyAlignment="1">
      <alignment horizontal="center" vertical="center" wrapText="1"/>
    </xf>
    <xf numFmtId="0" fontId="5" fillId="11" borderId="1" xfId="4" applyFont="1" applyFill="1" applyBorder="1" applyAlignment="1">
      <alignment horizontal="center" vertical="center" wrapText="1"/>
    </xf>
    <xf numFmtId="0" fontId="5" fillId="11" borderId="1" xfId="4" applyFont="1" applyFill="1" applyBorder="1" applyAlignment="1">
      <alignment horizontal="left" vertical="center" wrapText="1"/>
    </xf>
    <xf numFmtId="0" fontId="4" fillId="11" borderId="1" xfId="4" applyFont="1" applyFill="1" applyBorder="1" applyAlignment="1">
      <alignment horizontal="center" vertical="center" wrapText="1"/>
    </xf>
    <xf numFmtId="3" fontId="5" fillId="13" borderId="1" xfId="4" applyNumberFormat="1" applyFont="1" applyFill="1" applyBorder="1" applyAlignment="1">
      <alignment horizontal="left" vertical="center" wrapText="1"/>
    </xf>
    <xf numFmtId="41" fontId="2" fillId="0" borderId="1" xfId="1" applyFont="1" applyBorder="1" applyAlignment="1">
      <alignment horizontal="left" vertical="center" wrapText="1"/>
    </xf>
    <xf numFmtId="9" fontId="4" fillId="13" borderId="1" xfId="4" applyNumberFormat="1" applyFont="1" applyFill="1" applyBorder="1" applyAlignment="1">
      <alignment horizontal="center" vertical="center" wrapText="1"/>
    </xf>
    <xf numFmtId="15" fontId="5" fillId="13" borderId="1" xfId="4"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16" fillId="8"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26" fillId="15" borderId="1" xfId="0" applyFont="1" applyFill="1" applyBorder="1" applyAlignment="1">
      <alignment horizontal="center" vertical="center" wrapText="1"/>
    </xf>
    <xf numFmtId="0" fontId="0" fillId="0" borderId="2" xfId="0" applyBorder="1"/>
    <xf numFmtId="0" fontId="0" fillId="0" borderId="3" xfId="0" applyBorder="1"/>
    <xf numFmtId="0" fontId="27" fillId="22" borderId="1" xfId="0" applyFont="1" applyFill="1" applyBorder="1" applyAlignment="1">
      <alignment horizontal="left" vertical="center" wrapText="1"/>
    </xf>
    <xf numFmtId="0" fontId="27" fillId="20" borderId="1" xfId="0" applyFont="1" applyFill="1" applyBorder="1" applyAlignment="1">
      <alignment horizontal="center" vertical="center" wrapText="1"/>
    </xf>
    <xf numFmtId="0" fontId="28" fillId="23" borderId="1" xfId="0" applyFont="1" applyFill="1" applyBorder="1" applyAlignment="1">
      <alignment horizontal="center" vertical="center" wrapText="1"/>
    </xf>
    <xf numFmtId="0" fontId="24" fillId="17" borderId="1" xfId="0" applyFont="1" applyFill="1" applyBorder="1" applyAlignment="1">
      <alignment horizontal="center" vertical="center" wrapText="1"/>
    </xf>
    <xf numFmtId="0" fontId="27" fillId="20" borderId="1" xfId="0" applyFont="1" applyFill="1" applyBorder="1" applyAlignment="1">
      <alignment horizontal="left" vertical="center" wrapText="1"/>
    </xf>
    <xf numFmtId="0" fontId="27" fillId="21" borderId="1" xfId="0" applyFont="1" applyFill="1" applyBorder="1" applyAlignment="1">
      <alignment horizontal="left" vertical="center" wrapText="1"/>
    </xf>
    <xf numFmtId="3" fontId="27" fillId="20" borderId="1" xfId="0" applyNumberFormat="1" applyFont="1" applyFill="1" applyBorder="1" applyAlignment="1">
      <alignment horizontal="right" vertical="center" wrapText="1"/>
    </xf>
    <xf numFmtId="0" fontId="28" fillId="22" borderId="1" xfId="0" applyFont="1" applyFill="1" applyBorder="1" applyAlignment="1">
      <alignment horizontal="center" vertical="center" wrapText="1"/>
    </xf>
    <xf numFmtId="3" fontId="27" fillId="21" borderId="1" xfId="0" applyNumberFormat="1" applyFont="1" applyFill="1" applyBorder="1" applyAlignment="1">
      <alignment horizontal="right" vertical="center" wrapText="1"/>
    </xf>
    <xf numFmtId="0" fontId="23" fillId="14" borderId="1" xfId="0" applyFont="1" applyFill="1" applyBorder="1" applyAlignment="1">
      <alignment horizontal="center" vertical="center" wrapText="1"/>
    </xf>
    <xf numFmtId="0" fontId="27" fillId="21" borderId="1" xfId="0" applyFont="1" applyFill="1" applyBorder="1" applyAlignment="1">
      <alignment horizontal="center" vertical="center" wrapText="1"/>
    </xf>
    <xf numFmtId="0" fontId="27" fillId="23" borderId="1" xfId="0" applyFont="1" applyFill="1" applyBorder="1" applyAlignment="1">
      <alignment horizontal="center" vertical="center" wrapText="1"/>
    </xf>
    <xf numFmtId="0" fontId="27" fillId="23" borderId="1" xfId="0" applyFont="1" applyFill="1" applyBorder="1" applyAlignment="1">
      <alignment horizontal="left" vertical="center" wrapText="1"/>
    </xf>
    <xf numFmtId="0" fontId="25" fillId="14"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28" fillId="25" borderId="1" xfId="0" applyFont="1" applyFill="1" applyBorder="1" applyAlignment="1">
      <alignment horizontal="center" vertical="center" wrapText="1"/>
    </xf>
    <xf numFmtId="0" fontId="28" fillId="22" borderId="1" xfId="0" applyFont="1" applyFill="1" applyBorder="1" applyAlignment="1">
      <alignment horizontal="left" vertical="center" wrapText="1"/>
    </xf>
    <xf numFmtId="0" fontId="27" fillId="24" borderId="1" xfId="0" applyFont="1" applyFill="1" applyBorder="1" applyAlignment="1">
      <alignment horizontal="left" vertical="center" wrapText="1"/>
    </xf>
    <xf numFmtId="0" fontId="28" fillId="23" borderId="1" xfId="0" applyFont="1" applyFill="1" applyBorder="1" applyAlignment="1">
      <alignment horizontal="left" vertical="center" wrapText="1"/>
    </xf>
    <xf numFmtId="3" fontId="23" fillId="17" borderId="1" xfId="0" applyNumberFormat="1" applyFont="1" applyFill="1" applyBorder="1" applyAlignment="1">
      <alignment horizontal="right" vertical="center" wrapText="1"/>
    </xf>
    <xf numFmtId="0" fontId="28" fillId="24" borderId="1" xfId="0" applyFont="1" applyFill="1" applyBorder="1" applyAlignment="1">
      <alignment horizontal="center" vertical="center" wrapText="1"/>
    </xf>
    <xf numFmtId="0" fontId="24" fillId="18" borderId="1" xfId="0" applyFont="1" applyFill="1" applyBorder="1" applyAlignment="1">
      <alignment horizontal="center" vertical="center" wrapText="1"/>
    </xf>
    <xf numFmtId="0" fontId="25" fillId="19" borderId="1" xfId="0" applyFont="1" applyFill="1" applyBorder="1" applyAlignment="1">
      <alignment horizontal="center" vertical="center" wrapText="1"/>
    </xf>
    <xf numFmtId="0" fontId="26" fillId="14" borderId="1" xfId="0" applyFont="1" applyFill="1" applyBorder="1" applyAlignment="1">
      <alignment horizontal="center" vertical="center" wrapText="1"/>
    </xf>
    <xf numFmtId="0" fontId="23" fillId="17" borderId="1" xfId="0" applyFont="1" applyFill="1" applyBorder="1" applyAlignment="1">
      <alignment horizontal="center" vertical="center" wrapText="1"/>
    </xf>
    <xf numFmtId="0" fontId="24" fillId="15" borderId="1" xfId="0" applyFont="1" applyFill="1" applyBorder="1" applyAlignment="1">
      <alignment horizontal="center" vertical="center" wrapText="1"/>
    </xf>
    <xf numFmtId="0" fontId="27" fillId="25" borderId="1" xfId="0" applyFont="1" applyFill="1" applyBorder="1" applyAlignment="1">
      <alignment horizontal="center" vertical="center" wrapText="1"/>
    </xf>
    <xf numFmtId="0" fontId="27" fillId="25" borderId="1" xfId="0" applyFont="1" applyFill="1" applyBorder="1" applyAlignment="1">
      <alignment horizontal="left" vertical="center" wrapText="1"/>
    </xf>
    <xf numFmtId="0" fontId="20" fillId="14" borderId="1" xfId="0" applyFont="1" applyFill="1" applyBorder="1" applyAlignment="1">
      <alignment horizontal="center" vertical="center" wrapText="1"/>
    </xf>
    <xf numFmtId="0" fontId="25" fillId="18" borderId="1" xfId="0" applyFont="1" applyFill="1" applyBorder="1" applyAlignment="1">
      <alignment horizontal="center" vertical="center" wrapText="1"/>
    </xf>
    <xf numFmtId="0" fontId="23" fillId="15" borderId="1" xfId="0" applyFont="1" applyFill="1" applyBorder="1" applyAlignment="1">
      <alignment horizontal="center" vertical="center" wrapText="1"/>
    </xf>
    <xf numFmtId="0" fontId="27" fillId="22" borderId="1" xfId="0" applyFont="1" applyFill="1" applyBorder="1" applyAlignment="1">
      <alignment horizontal="center" vertical="center" wrapText="1"/>
    </xf>
    <xf numFmtId="0" fontId="22" fillId="16" borderId="1" xfId="0" applyFont="1" applyFill="1" applyBorder="1" applyAlignment="1">
      <alignment horizontal="center" vertical="center" wrapText="1"/>
    </xf>
    <xf numFmtId="0" fontId="24" fillId="19" borderId="1" xfId="0" applyFont="1" applyFill="1" applyBorder="1" applyAlignment="1">
      <alignment horizontal="center" vertical="center" wrapText="1"/>
    </xf>
    <xf numFmtId="0" fontId="27" fillId="24" borderId="1" xfId="0" applyFont="1" applyFill="1" applyBorder="1" applyAlignment="1">
      <alignment horizontal="center" vertical="center" wrapText="1"/>
    </xf>
    <xf numFmtId="0" fontId="26" fillId="17" borderId="1"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1" fillId="15" borderId="1" xfId="0" applyFont="1" applyFill="1" applyBorder="1" applyAlignment="1">
      <alignment horizontal="center" vertical="center" wrapText="1"/>
    </xf>
    <xf numFmtId="0" fontId="25" fillId="17" borderId="1"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23" fillId="18" borderId="1" xfId="0" applyFont="1" applyFill="1" applyBorder="1" applyAlignment="1">
      <alignment horizontal="center" vertical="center" wrapText="1"/>
    </xf>
    <xf numFmtId="0" fontId="29" fillId="14"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15" fillId="3" borderId="1" xfId="0" applyFont="1" applyFill="1" applyBorder="1" applyAlignment="1">
      <alignment horizontal="center" vertical="center"/>
    </xf>
    <xf numFmtId="41" fontId="31" fillId="17" borderId="1" xfId="1" applyFont="1" applyFill="1" applyBorder="1" applyAlignment="1">
      <alignment horizontal="center" vertical="center" wrapText="1"/>
    </xf>
    <xf numFmtId="0" fontId="21" fillId="14" borderId="1" xfId="0" applyFont="1" applyFill="1" applyBorder="1" applyAlignment="1">
      <alignment horizontal="center" vertical="center" wrapText="1"/>
    </xf>
    <xf numFmtId="41" fontId="4" fillId="21" borderId="1" xfId="1" applyFont="1" applyFill="1" applyBorder="1" applyAlignment="1">
      <alignment horizontal="center" vertical="center" wrapText="1"/>
    </xf>
    <xf numFmtId="41" fontId="4" fillId="21" borderId="1" xfId="1" applyFont="1" applyFill="1" applyBorder="1" applyAlignment="1">
      <alignment horizontal="left" vertical="center" wrapText="1"/>
    </xf>
    <xf numFmtId="41" fontId="4" fillId="21" borderId="1" xfId="1" applyFont="1" applyFill="1" applyBorder="1" applyAlignment="1">
      <alignment horizontal="right" vertical="center" wrapText="1"/>
    </xf>
    <xf numFmtId="41" fontId="18" fillId="0" borderId="0" xfId="1" applyFont="1"/>
    <xf numFmtId="0" fontId="16" fillId="22" borderId="1" xfId="0" applyFont="1" applyFill="1" applyBorder="1" applyAlignment="1">
      <alignment horizontal="left" vertical="center" wrapText="1"/>
    </xf>
    <xf numFmtId="0" fontId="32" fillId="22" borderId="1" xfId="0" applyFont="1" applyFill="1" applyBorder="1" applyAlignment="1">
      <alignment horizontal="left" vertical="center" wrapText="1"/>
    </xf>
    <xf numFmtId="0" fontId="16" fillId="22" borderId="1" xfId="0" applyFont="1" applyFill="1" applyBorder="1" applyAlignment="1">
      <alignment horizontal="center" vertical="center" wrapText="1"/>
    </xf>
    <xf numFmtId="0" fontId="16" fillId="23" borderId="1" xfId="0" applyFont="1" applyFill="1" applyBorder="1" applyAlignment="1">
      <alignment horizontal="left" vertical="center" wrapText="1"/>
    </xf>
    <xf numFmtId="0" fontId="32" fillId="23" borderId="1" xfId="0" applyFont="1" applyFill="1" applyBorder="1" applyAlignment="1">
      <alignment horizontal="left" vertical="center" wrapText="1"/>
    </xf>
    <xf numFmtId="0" fontId="16" fillId="23" borderId="1" xfId="0" applyFont="1" applyFill="1" applyBorder="1" applyAlignment="1">
      <alignment horizontal="center" vertical="center" wrapText="1"/>
    </xf>
  </cellXfs>
  <cellStyles count="5">
    <cellStyle name="Comma [0]" xfId="1" builtinId="6"/>
    <cellStyle name="Excel Built-in Comma [0]" xfId="3"/>
    <cellStyle name="Normal" xfId="0" builtinId="0"/>
    <cellStyle name="Normal 2" xfId="4"/>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7D0A"/>
      <rgbColor rgb="FF800080"/>
      <rgbColor rgb="FF2980B9"/>
      <rgbColor rgb="FFCCCCCC"/>
      <rgbColor rgb="FF888888"/>
      <rgbColor rgb="FF9999FF"/>
      <rgbColor rgb="FF993366"/>
      <rgbColor rgb="FFFEF9E7"/>
      <rgbColor rgb="FFD6EAF8"/>
      <rgbColor rgb="FF660066"/>
      <rgbColor rgb="FFFF8080"/>
      <rgbColor rgb="FF0066CC"/>
      <rgbColor rgb="FFF2F3F4"/>
      <rgbColor rgb="FF000080"/>
      <rgbColor rgb="FFFF00FF"/>
      <rgbColor rgb="FFFFFF00"/>
      <rgbColor rgb="FF00FFFF"/>
      <rgbColor rgb="FF800080"/>
      <rgbColor rgb="FF800000"/>
      <rgbColor rgb="FF2E7D52"/>
      <rgbColor rgb="FF0000FF"/>
      <rgbColor rgb="FF00CCFF"/>
      <rgbColor rgb="FFD4EDDA"/>
      <rgbColor rgb="FFD5F5E3"/>
      <rgbColor rgb="FFFDECEA"/>
      <rgbColor rgb="FF99CCFF"/>
      <rgbColor rgb="FFFF99CC"/>
      <rgbColor rgb="FFCC99FF"/>
      <rgbColor rgb="FFF2F8F5"/>
      <rgbColor rgb="FF3366FF"/>
      <rgbColor rgb="FF33CCCC"/>
      <rgbColor rgb="FF99CC00"/>
      <rgbColor rgb="FFFFCC00"/>
      <rgbColor rgb="FFFF9900"/>
      <rgbColor rgb="FFE67E22"/>
      <rgbColor rgb="FF566573"/>
      <rgbColor rgb="FF666666"/>
      <rgbColor rgb="FF1A3A5C"/>
      <rgbColor rgb="FF1E8449"/>
      <rgbColor rgb="FF003300"/>
      <rgbColor rgb="FF333300"/>
      <rgbColor rgb="FFC0392B"/>
      <rgbColor rgb="FF993366"/>
      <rgbColor rgb="FF1A5276"/>
      <rgbColor rgb="FF1A47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wesi\Downloads\IPC%20MATOVU%20ENGINEERING%20SERVIC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twesi\Downloads\IPC%20ERIC%20AINEBYO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ificate Page"/>
      <sheetName val="MAIN SUMARY"/>
      <sheetName val="MATOVU ENGINEERING SERVICES"/>
    </sheetNames>
    <sheetDataSet>
      <sheetData sheetId="0">
        <row r="36">
          <cell r="G36">
            <v>104069430</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rtificate Page"/>
      <sheetName val="AINEBYOONA INVESTMENTS GABIONS"/>
    </sheetNames>
    <sheetDataSet>
      <sheetData sheetId="0">
        <row r="36">
          <cell r="G36">
            <v>64188000</v>
          </cell>
        </row>
      </sheetData>
      <sheetData sheetId="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89"/>
  <sheetViews>
    <sheetView showGridLines="0" topLeftCell="A58" zoomScale="70" zoomScaleNormal="70" workbookViewId="0">
      <selection activeCell="C54" sqref="C54:I54"/>
    </sheetView>
  </sheetViews>
  <sheetFormatPr defaultRowHeight="14.4" x14ac:dyDescent="0.3"/>
  <cols>
    <col min="1" max="1" width="5" customWidth="1"/>
    <col min="2" max="2" width="22" customWidth="1"/>
    <col min="3" max="3" width="5" customWidth="1"/>
    <col min="4" max="5" width="12" customWidth="1"/>
    <col min="6" max="6" width="10" customWidth="1"/>
    <col min="7" max="7" width="14" customWidth="1"/>
    <col min="8" max="8" width="8" customWidth="1"/>
    <col min="9" max="11" width="20" customWidth="1"/>
    <col min="12" max="14" width="18" customWidth="1"/>
  </cols>
  <sheetData>
    <row r="1" spans="1:14" ht="31.95" customHeight="1" x14ac:dyDescent="0.3">
      <c r="A1" s="99" t="s">
        <v>0</v>
      </c>
      <c r="B1" s="69"/>
      <c r="C1" s="69"/>
      <c r="D1" s="69"/>
      <c r="E1" s="69"/>
      <c r="F1" s="69"/>
      <c r="G1" s="69"/>
      <c r="H1" s="69"/>
      <c r="I1" s="69"/>
      <c r="J1" s="69"/>
      <c r="K1" s="69"/>
      <c r="L1" s="69"/>
      <c r="M1" s="69"/>
      <c r="N1" s="70"/>
    </row>
    <row r="2" spans="1:14" ht="22.05" customHeight="1" x14ac:dyDescent="0.3">
      <c r="A2" s="108" t="s">
        <v>1</v>
      </c>
      <c r="B2" s="69"/>
      <c r="C2" s="69"/>
      <c r="D2" s="69"/>
      <c r="E2" s="69"/>
      <c r="F2" s="69"/>
      <c r="G2" s="69"/>
      <c r="H2" s="69"/>
      <c r="I2" s="69"/>
      <c r="J2" s="69"/>
      <c r="K2" s="69"/>
      <c r="L2" s="69"/>
      <c r="M2" s="69"/>
      <c r="N2" s="70"/>
    </row>
    <row r="3" spans="1:14" ht="18" customHeight="1" x14ac:dyDescent="0.3">
      <c r="A3" s="103" t="s">
        <v>2</v>
      </c>
      <c r="B3" s="69"/>
      <c r="C3" s="69"/>
      <c r="D3" s="69"/>
      <c r="E3" s="69"/>
      <c r="F3" s="69"/>
      <c r="G3" s="69"/>
      <c r="H3" s="69"/>
      <c r="I3" s="69"/>
      <c r="J3" s="69"/>
      <c r="K3" s="69"/>
      <c r="L3" s="69"/>
      <c r="M3" s="69"/>
      <c r="N3" s="70"/>
    </row>
    <row r="4" spans="1:14" ht="18" customHeight="1" x14ac:dyDescent="0.3">
      <c r="A4" s="23"/>
      <c r="B4" s="23"/>
      <c r="C4" s="23"/>
      <c r="D4" s="23"/>
      <c r="E4" s="23"/>
      <c r="F4" s="23"/>
      <c r="G4" s="23"/>
      <c r="H4" s="23"/>
      <c r="I4" s="23"/>
      <c r="J4" s="23"/>
      <c r="K4" s="23"/>
      <c r="L4" s="23"/>
      <c r="M4" s="23"/>
      <c r="N4" s="23"/>
    </row>
    <row r="5" spans="1:14" ht="18" customHeight="1" x14ac:dyDescent="0.3">
      <c r="A5" s="80" t="s">
        <v>3</v>
      </c>
      <c r="B5" s="70"/>
      <c r="C5" s="95" t="s">
        <v>4</v>
      </c>
      <c r="D5" s="70"/>
      <c r="E5" s="23"/>
      <c r="F5" s="101" t="s">
        <v>5</v>
      </c>
      <c r="G5" s="70"/>
      <c r="H5" s="23"/>
      <c r="I5" s="111" t="s">
        <v>6</v>
      </c>
      <c r="J5" s="70"/>
      <c r="K5" s="23"/>
      <c r="L5" s="85" t="s">
        <v>7</v>
      </c>
      <c r="M5" s="70"/>
      <c r="N5" s="23"/>
    </row>
    <row r="6" spans="1:14" ht="18" customHeight="1" x14ac:dyDescent="0.3">
      <c r="A6" s="110" t="s">
        <v>8</v>
      </c>
      <c r="B6" s="70"/>
      <c r="C6" s="74" t="s">
        <v>9</v>
      </c>
      <c r="D6" s="70"/>
      <c r="E6" s="23"/>
      <c r="F6" s="96" t="s">
        <v>10</v>
      </c>
      <c r="G6" s="70"/>
      <c r="H6" s="23"/>
      <c r="I6" s="92" t="s">
        <v>11</v>
      </c>
      <c r="J6" s="70"/>
      <c r="K6" s="23"/>
      <c r="L6" s="104" t="s">
        <v>12</v>
      </c>
      <c r="M6" s="70"/>
      <c r="N6" s="23"/>
    </row>
    <row r="7" spans="1:14" ht="18" customHeight="1" x14ac:dyDescent="0.3">
      <c r="A7" s="84" t="s">
        <v>13</v>
      </c>
      <c r="B7" s="70"/>
      <c r="C7" s="109" t="s">
        <v>14</v>
      </c>
      <c r="D7" s="70"/>
      <c r="E7" s="23"/>
      <c r="F7" s="107" t="s">
        <v>15</v>
      </c>
      <c r="G7" s="70"/>
      <c r="H7" s="23"/>
      <c r="I7" s="100" t="s">
        <v>16</v>
      </c>
      <c r="J7" s="70"/>
      <c r="K7" s="23"/>
      <c r="L7" s="93" t="s">
        <v>17</v>
      </c>
      <c r="M7" s="70"/>
      <c r="N7" s="23"/>
    </row>
    <row r="8" spans="1:14" ht="18" customHeight="1" x14ac:dyDescent="0.3">
      <c r="A8" s="23"/>
      <c r="B8" s="23"/>
      <c r="C8" s="23"/>
      <c r="D8" s="23"/>
      <c r="E8" s="23"/>
      <c r="F8" s="23"/>
      <c r="G8" s="23"/>
      <c r="H8" s="23"/>
      <c r="I8" s="23"/>
      <c r="J8" s="23"/>
      <c r="K8" s="23"/>
      <c r="L8" s="23"/>
      <c r="M8" s="23"/>
      <c r="N8" s="23"/>
    </row>
    <row r="9" spans="1:14" ht="18" customHeight="1" x14ac:dyDescent="0.3">
      <c r="A9" s="68" t="s">
        <v>18</v>
      </c>
      <c r="B9" s="69"/>
      <c r="C9" s="69"/>
      <c r="D9" s="69"/>
      <c r="E9" s="69"/>
      <c r="F9" s="69"/>
      <c r="G9" s="69"/>
      <c r="H9" s="69"/>
      <c r="I9" s="69"/>
      <c r="J9" s="69"/>
      <c r="K9" s="69"/>
      <c r="L9" s="69"/>
      <c r="M9" s="69"/>
      <c r="N9" s="70"/>
    </row>
    <row r="10" spans="1:14" ht="18" customHeight="1" x14ac:dyDescent="0.3">
      <c r="A10" s="80" t="s">
        <v>19</v>
      </c>
      <c r="B10" s="70"/>
      <c r="C10" s="80" t="s">
        <v>20</v>
      </c>
      <c r="D10" s="70"/>
      <c r="E10" s="1" t="s">
        <v>21</v>
      </c>
      <c r="F10" s="1" t="s">
        <v>22</v>
      </c>
      <c r="G10" s="1" t="s">
        <v>23</v>
      </c>
      <c r="H10" s="1" t="s">
        <v>24</v>
      </c>
      <c r="I10" s="1" t="s">
        <v>25</v>
      </c>
      <c r="J10" s="80" t="s">
        <v>26</v>
      </c>
      <c r="K10" s="70"/>
      <c r="L10" s="23"/>
      <c r="M10" s="23"/>
      <c r="N10" s="23"/>
    </row>
    <row r="11" spans="1:14" ht="18" customHeight="1" x14ac:dyDescent="0.3">
      <c r="A11" s="75" t="s">
        <v>27</v>
      </c>
      <c r="B11" s="70"/>
      <c r="C11" s="72">
        <v>5</v>
      </c>
      <c r="D11" s="70"/>
      <c r="E11" s="3">
        <v>4</v>
      </c>
      <c r="F11" s="3">
        <v>0</v>
      </c>
      <c r="G11" s="3">
        <v>1</v>
      </c>
      <c r="H11" s="3">
        <v>0</v>
      </c>
      <c r="I11" s="3">
        <v>0</v>
      </c>
      <c r="J11" s="72" t="s">
        <v>28</v>
      </c>
      <c r="K11" s="70"/>
      <c r="L11" s="23"/>
      <c r="M11" s="23"/>
      <c r="N11" s="23"/>
    </row>
    <row r="12" spans="1:14" ht="18" customHeight="1" x14ac:dyDescent="0.3">
      <c r="A12" s="76" t="s">
        <v>29</v>
      </c>
      <c r="B12" s="70"/>
      <c r="C12" s="81">
        <v>8</v>
      </c>
      <c r="D12" s="70"/>
      <c r="E12" s="5">
        <v>5</v>
      </c>
      <c r="F12" s="5">
        <v>1</v>
      </c>
      <c r="G12" s="5">
        <v>2</v>
      </c>
      <c r="H12" s="5">
        <v>0</v>
      </c>
      <c r="I12" s="5">
        <v>0</v>
      </c>
      <c r="J12" s="81" t="s">
        <v>30</v>
      </c>
      <c r="K12" s="70"/>
      <c r="L12" s="23"/>
      <c r="M12" s="23"/>
      <c r="N12" s="23"/>
    </row>
    <row r="13" spans="1:14" ht="18" customHeight="1" x14ac:dyDescent="0.3">
      <c r="A13" s="75" t="s">
        <v>31</v>
      </c>
      <c r="B13" s="70"/>
      <c r="C13" s="72">
        <v>2</v>
      </c>
      <c r="D13" s="70"/>
      <c r="E13" s="3">
        <v>0</v>
      </c>
      <c r="F13" s="3">
        <v>1</v>
      </c>
      <c r="G13" s="3">
        <v>0</v>
      </c>
      <c r="H13" s="3">
        <v>0</v>
      </c>
      <c r="I13" s="3">
        <v>1</v>
      </c>
      <c r="J13" s="72" t="s">
        <v>32</v>
      </c>
      <c r="K13" s="70"/>
      <c r="L13" s="23"/>
      <c r="M13" s="23"/>
      <c r="N13" s="23"/>
    </row>
    <row r="14" spans="1:14" ht="18" customHeight="1" x14ac:dyDescent="0.3">
      <c r="A14" s="76" t="s">
        <v>33</v>
      </c>
      <c r="B14" s="70"/>
      <c r="C14" s="81">
        <v>4</v>
      </c>
      <c r="D14" s="70"/>
      <c r="E14" s="5">
        <v>2</v>
      </c>
      <c r="F14" s="5">
        <v>0</v>
      </c>
      <c r="G14" s="5">
        <v>2</v>
      </c>
      <c r="H14" s="5">
        <v>0</v>
      </c>
      <c r="I14" s="5">
        <v>0</v>
      </c>
      <c r="J14" s="81" t="s">
        <v>34</v>
      </c>
      <c r="K14" s="70"/>
      <c r="L14" s="23"/>
      <c r="M14" s="23"/>
      <c r="N14" s="23"/>
    </row>
    <row r="15" spans="1:14" ht="18" customHeight="1" x14ac:dyDescent="0.3">
      <c r="A15" s="75" t="s">
        <v>35</v>
      </c>
      <c r="B15" s="70"/>
      <c r="C15" s="72">
        <v>1</v>
      </c>
      <c r="D15" s="70"/>
      <c r="E15" s="3">
        <v>0</v>
      </c>
      <c r="F15" s="3">
        <v>1</v>
      </c>
      <c r="G15" s="3">
        <v>0</v>
      </c>
      <c r="H15" s="3">
        <v>0</v>
      </c>
      <c r="I15" s="3">
        <v>0</v>
      </c>
      <c r="J15" s="72" t="s">
        <v>36</v>
      </c>
      <c r="K15" s="70"/>
      <c r="L15" s="23"/>
      <c r="M15" s="23"/>
      <c r="N15" s="23"/>
    </row>
    <row r="16" spans="1:14" ht="18" customHeight="1" x14ac:dyDescent="0.3">
      <c r="A16" s="76" t="s">
        <v>37</v>
      </c>
      <c r="B16" s="70"/>
      <c r="C16" s="81">
        <v>2</v>
      </c>
      <c r="D16" s="70"/>
      <c r="E16" s="5">
        <v>0</v>
      </c>
      <c r="F16" s="5">
        <v>2</v>
      </c>
      <c r="G16" s="5">
        <v>0</v>
      </c>
      <c r="H16" s="5">
        <v>0</v>
      </c>
      <c r="I16" s="5">
        <v>0</v>
      </c>
      <c r="J16" s="81" t="s">
        <v>38</v>
      </c>
      <c r="K16" s="70"/>
      <c r="L16" s="23"/>
      <c r="M16" s="23"/>
      <c r="N16" s="23"/>
    </row>
    <row r="17" spans="1:14" ht="18" customHeight="1" x14ac:dyDescent="0.3">
      <c r="A17" s="75" t="s">
        <v>39</v>
      </c>
      <c r="B17" s="70"/>
      <c r="C17" s="72">
        <v>3</v>
      </c>
      <c r="D17" s="70"/>
      <c r="E17" s="3">
        <v>0</v>
      </c>
      <c r="F17" s="3">
        <v>1</v>
      </c>
      <c r="G17" s="3">
        <v>0</v>
      </c>
      <c r="H17" s="3">
        <v>2</v>
      </c>
      <c r="I17" s="3">
        <v>0</v>
      </c>
      <c r="J17" s="72" t="s">
        <v>40</v>
      </c>
      <c r="K17" s="70"/>
      <c r="L17" s="23"/>
      <c r="M17" s="23"/>
      <c r="N17" s="23"/>
    </row>
    <row r="18" spans="1:14" ht="18" customHeight="1" x14ac:dyDescent="0.3">
      <c r="A18" s="76" t="s">
        <v>41</v>
      </c>
      <c r="B18" s="70"/>
      <c r="C18" s="81">
        <v>6</v>
      </c>
      <c r="D18" s="70"/>
      <c r="E18" s="5">
        <v>2</v>
      </c>
      <c r="F18" s="5">
        <v>1</v>
      </c>
      <c r="G18" s="5">
        <v>3</v>
      </c>
      <c r="H18" s="5">
        <v>0</v>
      </c>
      <c r="I18" s="5">
        <v>0</v>
      </c>
      <c r="J18" s="81" t="s">
        <v>42</v>
      </c>
      <c r="K18" s="70"/>
      <c r="L18" s="23"/>
      <c r="M18" s="23"/>
      <c r="N18" s="23"/>
    </row>
    <row r="19" spans="1:14" ht="18" customHeight="1" x14ac:dyDescent="0.3">
      <c r="A19" s="75" t="s">
        <v>43</v>
      </c>
      <c r="B19" s="70"/>
      <c r="C19" s="72">
        <v>20</v>
      </c>
      <c r="D19" s="70"/>
      <c r="E19" s="3">
        <v>10</v>
      </c>
      <c r="F19" s="3">
        <v>0</v>
      </c>
      <c r="G19" s="3">
        <v>6</v>
      </c>
      <c r="H19" s="3">
        <v>0</v>
      </c>
      <c r="I19" s="3">
        <v>4</v>
      </c>
      <c r="J19" s="72" t="s">
        <v>44</v>
      </c>
      <c r="K19" s="70"/>
      <c r="L19" s="23"/>
      <c r="M19" s="23"/>
      <c r="N19" s="23"/>
    </row>
    <row r="20" spans="1:14" ht="18" customHeight="1" x14ac:dyDescent="0.3">
      <c r="A20" s="76" t="s">
        <v>45</v>
      </c>
      <c r="B20" s="70"/>
      <c r="C20" s="81">
        <v>3</v>
      </c>
      <c r="D20" s="70"/>
      <c r="E20" s="5">
        <v>1</v>
      </c>
      <c r="F20" s="5">
        <v>1</v>
      </c>
      <c r="G20" s="5">
        <v>1</v>
      </c>
      <c r="H20" s="5">
        <v>0</v>
      </c>
      <c r="I20" s="5">
        <v>0</v>
      </c>
      <c r="J20" s="81" t="s">
        <v>46</v>
      </c>
      <c r="K20" s="70"/>
      <c r="L20" s="23"/>
      <c r="M20" s="23"/>
      <c r="N20" s="23"/>
    </row>
    <row r="21" spans="1:14" ht="18" customHeight="1" x14ac:dyDescent="0.3">
      <c r="A21" s="75" t="s">
        <v>47</v>
      </c>
      <c r="B21" s="70"/>
      <c r="C21" s="72">
        <v>3</v>
      </c>
      <c r="D21" s="70"/>
      <c r="E21" s="3">
        <v>1</v>
      </c>
      <c r="F21" s="3">
        <v>1</v>
      </c>
      <c r="G21" s="3">
        <v>1</v>
      </c>
      <c r="H21" s="3">
        <v>0</v>
      </c>
      <c r="I21" s="3">
        <v>0</v>
      </c>
      <c r="J21" s="72" t="s">
        <v>48</v>
      </c>
      <c r="K21" s="70"/>
      <c r="L21" s="23"/>
      <c r="M21" s="23"/>
      <c r="N21" s="23"/>
    </row>
    <row r="22" spans="1:14" ht="18" customHeight="1" x14ac:dyDescent="0.3">
      <c r="A22" s="76" t="s">
        <v>49</v>
      </c>
      <c r="B22" s="70"/>
      <c r="C22" s="81">
        <v>29</v>
      </c>
      <c r="D22" s="70"/>
      <c r="E22" s="5">
        <v>9</v>
      </c>
      <c r="F22" s="5">
        <v>5</v>
      </c>
      <c r="G22" s="5">
        <v>7</v>
      </c>
      <c r="H22" s="5">
        <v>5</v>
      </c>
      <c r="I22" s="5">
        <v>3</v>
      </c>
      <c r="J22" s="81" t="s">
        <v>50</v>
      </c>
      <c r="K22" s="70"/>
      <c r="L22" s="23"/>
      <c r="M22" s="23"/>
      <c r="N22" s="23"/>
    </row>
    <row r="23" spans="1:14" ht="18" customHeight="1" x14ac:dyDescent="0.3">
      <c r="A23" s="75" t="s">
        <v>51</v>
      </c>
      <c r="B23" s="70"/>
      <c r="C23" s="72">
        <v>9</v>
      </c>
      <c r="D23" s="70"/>
      <c r="E23" s="3">
        <v>0</v>
      </c>
      <c r="F23" s="3">
        <v>3</v>
      </c>
      <c r="G23" s="3">
        <v>1</v>
      </c>
      <c r="H23" s="3">
        <v>0</v>
      </c>
      <c r="I23" s="3">
        <v>5</v>
      </c>
      <c r="J23" s="72" t="s">
        <v>52</v>
      </c>
      <c r="K23" s="70"/>
      <c r="L23" s="23"/>
      <c r="M23" s="23"/>
      <c r="N23" s="23"/>
    </row>
    <row r="24" spans="1:14" ht="18" customHeight="1" x14ac:dyDescent="0.3">
      <c r="A24" s="76" t="s">
        <v>53</v>
      </c>
      <c r="B24" s="70"/>
      <c r="C24" s="81">
        <v>5</v>
      </c>
      <c r="D24" s="70"/>
      <c r="E24" s="5">
        <v>0</v>
      </c>
      <c r="F24" s="5">
        <v>3</v>
      </c>
      <c r="G24" s="5">
        <v>2</v>
      </c>
      <c r="H24" s="5">
        <v>0</v>
      </c>
      <c r="I24" s="5">
        <v>0</v>
      </c>
      <c r="J24" s="81" t="s">
        <v>54</v>
      </c>
      <c r="K24" s="70"/>
      <c r="L24" s="23"/>
      <c r="M24" s="23"/>
      <c r="N24" s="23"/>
    </row>
    <row r="25" spans="1:14" ht="18" customHeight="1" x14ac:dyDescent="0.3">
      <c r="A25" s="75" t="s">
        <v>55</v>
      </c>
      <c r="B25" s="70"/>
      <c r="C25" s="72">
        <v>1</v>
      </c>
      <c r="D25" s="70"/>
      <c r="E25" s="3">
        <v>0</v>
      </c>
      <c r="F25" s="3">
        <v>1</v>
      </c>
      <c r="G25" s="3">
        <v>0</v>
      </c>
      <c r="H25" s="3">
        <v>0</v>
      </c>
      <c r="I25" s="3">
        <v>0</v>
      </c>
      <c r="J25" s="72" t="s">
        <v>56</v>
      </c>
      <c r="K25" s="70"/>
      <c r="L25" s="23"/>
      <c r="M25" s="23"/>
      <c r="N25" s="23"/>
    </row>
    <row r="26" spans="1:14" ht="18" customHeight="1" x14ac:dyDescent="0.3">
      <c r="A26" s="76" t="s">
        <v>57</v>
      </c>
      <c r="B26" s="70"/>
      <c r="C26" s="81">
        <v>12</v>
      </c>
      <c r="D26" s="70"/>
      <c r="E26" s="5">
        <v>6</v>
      </c>
      <c r="F26" s="5">
        <v>3</v>
      </c>
      <c r="G26" s="5">
        <v>2</v>
      </c>
      <c r="H26" s="5">
        <v>0</v>
      </c>
      <c r="I26" s="5">
        <v>1</v>
      </c>
      <c r="J26" s="81" t="s">
        <v>58</v>
      </c>
      <c r="K26" s="70"/>
      <c r="L26" s="23"/>
      <c r="M26" s="23"/>
      <c r="N26" s="23"/>
    </row>
    <row r="27" spans="1:14" ht="18" customHeight="1" x14ac:dyDescent="0.3">
      <c r="A27" s="75" t="s">
        <v>59</v>
      </c>
      <c r="B27" s="70"/>
      <c r="C27" s="72">
        <v>3</v>
      </c>
      <c r="D27" s="70"/>
      <c r="E27" s="3">
        <v>0</v>
      </c>
      <c r="F27" s="3">
        <v>2</v>
      </c>
      <c r="G27" s="3">
        <v>1</v>
      </c>
      <c r="H27" s="3">
        <v>0</v>
      </c>
      <c r="I27" s="3">
        <v>0</v>
      </c>
      <c r="J27" s="72" t="s">
        <v>60</v>
      </c>
      <c r="K27" s="70"/>
      <c r="L27" s="23"/>
      <c r="M27" s="23"/>
      <c r="N27" s="23"/>
    </row>
    <row r="28" spans="1:14" ht="18" customHeight="1" x14ac:dyDescent="0.3">
      <c r="A28" s="76" t="s">
        <v>61</v>
      </c>
      <c r="B28" s="70"/>
      <c r="C28" s="81">
        <v>2</v>
      </c>
      <c r="D28" s="70"/>
      <c r="E28" s="5">
        <v>0</v>
      </c>
      <c r="F28" s="5">
        <v>2</v>
      </c>
      <c r="G28" s="5">
        <v>0</v>
      </c>
      <c r="H28" s="5">
        <v>0</v>
      </c>
      <c r="I28" s="5">
        <v>0</v>
      </c>
      <c r="J28" s="81" t="s">
        <v>36</v>
      </c>
      <c r="K28" s="70"/>
      <c r="L28" s="23"/>
      <c r="M28" s="23"/>
      <c r="N28" s="23"/>
    </row>
    <row r="29" spans="1:14" ht="18" customHeight="1" x14ac:dyDescent="0.3">
      <c r="A29" s="75" t="s">
        <v>62</v>
      </c>
      <c r="B29" s="70"/>
      <c r="C29" s="72">
        <v>13</v>
      </c>
      <c r="D29" s="70"/>
      <c r="E29" s="3">
        <v>5</v>
      </c>
      <c r="F29" s="3">
        <v>4</v>
      </c>
      <c r="G29" s="3">
        <v>3</v>
      </c>
      <c r="H29" s="3">
        <v>0</v>
      </c>
      <c r="I29" s="3">
        <v>1</v>
      </c>
      <c r="J29" s="72" t="s">
        <v>63</v>
      </c>
      <c r="K29" s="70"/>
      <c r="L29" s="23"/>
      <c r="M29" s="23"/>
      <c r="N29" s="23"/>
    </row>
    <row r="30" spans="1:14" ht="18" customHeight="1" x14ac:dyDescent="0.3">
      <c r="A30" s="76" t="s">
        <v>64</v>
      </c>
      <c r="B30" s="70"/>
      <c r="C30" s="81">
        <v>4</v>
      </c>
      <c r="D30" s="70"/>
      <c r="E30" s="5">
        <v>1</v>
      </c>
      <c r="F30" s="5">
        <v>2</v>
      </c>
      <c r="G30" s="5">
        <v>0</v>
      </c>
      <c r="H30" s="5">
        <v>0</v>
      </c>
      <c r="I30" s="5">
        <v>1</v>
      </c>
      <c r="J30" s="81" t="s">
        <v>65</v>
      </c>
      <c r="K30" s="70"/>
      <c r="L30" s="23"/>
      <c r="M30" s="23"/>
      <c r="N30" s="23"/>
    </row>
    <row r="31" spans="1:14" ht="18" customHeight="1" x14ac:dyDescent="0.3">
      <c r="A31" s="75" t="s">
        <v>66</v>
      </c>
      <c r="B31" s="70"/>
      <c r="C31" s="72">
        <v>5</v>
      </c>
      <c r="D31" s="70"/>
      <c r="E31" s="3">
        <v>0</v>
      </c>
      <c r="F31" s="3">
        <v>5</v>
      </c>
      <c r="G31" s="3">
        <v>0</v>
      </c>
      <c r="H31" s="3">
        <v>0</v>
      </c>
      <c r="I31" s="3">
        <v>0</v>
      </c>
      <c r="J31" s="72" t="s">
        <v>67</v>
      </c>
      <c r="K31" s="70"/>
      <c r="L31" s="23"/>
      <c r="M31" s="23"/>
      <c r="N31" s="23"/>
    </row>
    <row r="32" spans="1:14" ht="18" customHeight="1" x14ac:dyDescent="0.3">
      <c r="A32" s="76" t="s">
        <v>68</v>
      </c>
      <c r="B32" s="70"/>
      <c r="C32" s="81">
        <v>1</v>
      </c>
      <c r="D32" s="70"/>
      <c r="E32" s="5">
        <v>0</v>
      </c>
      <c r="F32" s="5">
        <v>1</v>
      </c>
      <c r="G32" s="5">
        <v>0</v>
      </c>
      <c r="H32" s="5">
        <v>0</v>
      </c>
      <c r="I32" s="5">
        <v>0</v>
      </c>
      <c r="J32" s="81" t="s">
        <v>69</v>
      </c>
      <c r="K32" s="70"/>
      <c r="L32" s="23"/>
      <c r="M32" s="23"/>
      <c r="N32" s="23"/>
    </row>
    <row r="33" spans="1:14" ht="18" customHeight="1" x14ac:dyDescent="0.3">
      <c r="A33" s="80" t="s">
        <v>70</v>
      </c>
      <c r="B33" s="70"/>
      <c r="C33" s="80">
        <v>135</v>
      </c>
      <c r="D33" s="70"/>
      <c r="E33" s="1">
        <v>46</v>
      </c>
      <c r="F33" s="1">
        <v>34</v>
      </c>
      <c r="G33" s="1">
        <v>32</v>
      </c>
      <c r="H33" s="1">
        <v>7</v>
      </c>
      <c r="I33" s="1">
        <v>14</v>
      </c>
      <c r="J33" s="23"/>
      <c r="K33" s="23"/>
      <c r="L33" s="23"/>
      <c r="M33" s="23"/>
      <c r="N33" s="23"/>
    </row>
    <row r="34" spans="1:14" ht="18" customHeight="1" x14ac:dyDescent="0.3">
      <c r="A34" s="23"/>
      <c r="B34" s="23"/>
      <c r="C34" s="23"/>
      <c r="D34" s="23"/>
      <c r="E34" s="23"/>
      <c r="F34" s="23"/>
      <c r="G34" s="23"/>
      <c r="H34" s="23"/>
      <c r="I34" s="23"/>
      <c r="J34" s="23"/>
      <c r="K34" s="23"/>
      <c r="L34" s="23"/>
      <c r="M34" s="23"/>
      <c r="N34" s="23"/>
    </row>
    <row r="35" spans="1:14" ht="18" customHeight="1" x14ac:dyDescent="0.3">
      <c r="A35" s="68" t="s">
        <v>71</v>
      </c>
      <c r="B35" s="69"/>
      <c r="C35" s="69"/>
      <c r="D35" s="69"/>
      <c r="E35" s="69"/>
      <c r="F35" s="69"/>
      <c r="G35" s="69"/>
      <c r="H35" s="69"/>
      <c r="I35" s="69"/>
      <c r="J35" s="69"/>
      <c r="K35" s="69"/>
      <c r="L35" s="69"/>
      <c r="M35" s="69"/>
      <c r="N35" s="70"/>
    </row>
    <row r="36" spans="1:14" ht="18" customHeight="1" x14ac:dyDescent="0.3">
      <c r="A36" s="1" t="s">
        <v>72</v>
      </c>
      <c r="B36" s="80" t="s">
        <v>73</v>
      </c>
      <c r="C36" s="70"/>
      <c r="D36" s="80" t="s">
        <v>74</v>
      </c>
      <c r="E36" s="69"/>
      <c r="F36" s="70"/>
      <c r="G36" s="80" t="s">
        <v>75</v>
      </c>
      <c r="H36" s="69"/>
      <c r="I36" s="70"/>
      <c r="J36" s="1" t="s">
        <v>76</v>
      </c>
      <c r="K36" s="80" t="s">
        <v>77</v>
      </c>
      <c r="L36" s="70"/>
      <c r="M36" s="80" t="s">
        <v>78</v>
      </c>
      <c r="N36" s="70"/>
    </row>
    <row r="37" spans="1:14" ht="45" customHeight="1" x14ac:dyDescent="0.3">
      <c r="A37" s="6">
        <v>1</v>
      </c>
      <c r="B37" s="87" t="s">
        <v>79</v>
      </c>
      <c r="C37" s="70"/>
      <c r="D37" s="71" t="s">
        <v>80</v>
      </c>
      <c r="E37" s="69"/>
      <c r="F37" s="70"/>
      <c r="G37" s="71" t="s">
        <v>81</v>
      </c>
      <c r="H37" s="69"/>
      <c r="I37" s="70"/>
      <c r="J37" s="6" t="s">
        <v>82</v>
      </c>
      <c r="K37" s="71" t="s">
        <v>83</v>
      </c>
      <c r="L37" s="70"/>
      <c r="M37" s="123" t="s">
        <v>995</v>
      </c>
      <c r="N37" s="70"/>
    </row>
    <row r="38" spans="1:14" ht="45" customHeight="1" x14ac:dyDescent="0.3">
      <c r="A38" s="6">
        <v>2</v>
      </c>
      <c r="B38" s="87" t="s">
        <v>85</v>
      </c>
      <c r="C38" s="70"/>
      <c r="D38" s="71" t="s">
        <v>86</v>
      </c>
      <c r="E38" s="69"/>
      <c r="F38" s="70"/>
      <c r="G38" s="71" t="s">
        <v>87</v>
      </c>
      <c r="H38" s="69"/>
      <c r="I38" s="70"/>
      <c r="J38" s="6" t="s">
        <v>82</v>
      </c>
      <c r="K38" s="71" t="s">
        <v>88</v>
      </c>
      <c r="L38" s="70"/>
      <c r="M38" s="78" t="s">
        <v>89</v>
      </c>
      <c r="N38" s="70"/>
    </row>
    <row r="39" spans="1:14" ht="45" customHeight="1" x14ac:dyDescent="0.3">
      <c r="A39" s="6">
        <v>3</v>
      </c>
      <c r="B39" s="87" t="s">
        <v>90</v>
      </c>
      <c r="C39" s="70"/>
      <c r="D39" s="71" t="s">
        <v>91</v>
      </c>
      <c r="E39" s="69"/>
      <c r="F39" s="70"/>
      <c r="G39" s="71" t="s">
        <v>92</v>
      </c>
      <c r="H39" s="69"/>
      <c r="I39" s="70"/>
      <c r="J39" s="6" t="s">
        <v>82</v>
      </c>
      <c r="K39" s="71" t="s">
        <v>93</v>
      </c>
      <c r="L39" s="70"/>
      <c r="M39" s="78" t="s">
        <v>94</v>
      </c>
      <c r="N39" s="70"/>
    </row>
    <row r="40" spans="1:14" ht="57.6" customHeight="1" x14ac:dyDescent="0.3">
      <c r="A40" s="6">
        <v>4</v>
      </c>
      <c r="B40" s="121" t="s">
        <v>981</v>
      </c>
      <c r="C40" s="70"/>
      <c r="D40" s="122" t="s">
        <v>982</v>
      </c>
      <c r="E40" s="69"/>
      <c r="F40" s="70"/>
      <c r="G40" s="122" t="s">
        <v>983</v>
      </c>
      <c r="H40" s="69"/>
      <c r="I40" s="70"/>
      <c r="J40" s="6" t="s">
        <v>82</v>
      </c>
      <c r="K40" s="122" t="s">
        <v>984</v>
      </c>
      <c r="L40" s="70"/>
      <c r="M40" s="123" t="s">
        <v>985</v>
      </c>
      <c r="N40" s="70"/>
    </row>
    <row r="41" spans="1:14" ht="51.6" customHeight="1" x14ac:dyDescent="0.3">
      <c r="A41" s="6">
        <v>5</v>
      </c>
      <c r="B41" s="121" t="s">
        <v>991</v>
      </c>
      <c r="C41" s="70"/>
      <c r="D41" s="122" t="s">
        <v>992</v>
      </c>
      <c r="E41" s="69"/>
      <c r="F41" s="70"/>
      <c r="G41" s="122" t="s">
        <v>983</v>
      </c>
      <c r="H41" s="69"/>
      <c r="I41" s="70"/>
      <c r="J41" s="6" t="s">
        <v>82</v>
      </c>
      <c r="K41" s="122" t="s">
        <v>993</v>
      </c>
      <c r="L41" s="70"/>
      <c r="M41" s="123" t="s">
        <v>994</v>
      </c>
      <c r="N41" s="70"/>
    </row>
    <row r="42" spans="1:14" ht="45" customHeight="1" x14ac:dyDescent="0.3">
      <c r="A42" s="7">
        <v>6</v>
      </c>
      <c r="B42" s="89" t="s">
        <v>95</v>
      </c>
      <c r="C42" s="70"/>
      <c r="D42" s="83" t="s">
        <v>96</v>
      </c>
      <c r="E42" s="69"/>
      <c r="F42" s="70"/>
      <c r="G42" s="83" t="s">
        <v>97</v>
      </c>
      <c r="H42" s="69"/>
      <c r="I42" s="70"/>
      <c r="J42" s="7" t="s">
        <v>98</v>
      </c>
      <c r="K42" s="83" t="s">
        <v>99</v>
      </c>
      <c r="L42" s="70"/>
      <c r="M42" s="73" t="s">
        <v>100</v>
      </c>
      <c r="N42" s="70"/>
    </row>
    <row r="43" spans="1:14" ht="45" customHeight="1" x14ac:dyDescent="0.3">
      <c r="A43" s="7">
        <v>7</v>
      </c>
      <c r="B43" s="89" t="s">
        <v>101</v>
      </c>
      <c r="C43" s="70"/>
      <c r="D43" s="83" t="s">
        <v>102</v>
      </c>
      <c r="E43" s="69"/>
      <c r="F43" s="70"/>
      <c r="G43" s="83" t="s">
        <v>103</v>
      </c>
      <c r="H43" s="69"/>
      <c r="I43" s="70"/>
      <c r="J43" s="7" t="s">
        <v>98</v>
      </c>
      <c r="K43" s="83" t="s">
        <v>104</v>
      </c>
      <c r="L43" s="70"/>
      <c r="M43" s="73" t="s">
        <v>105</v>
      </c>
      <c r="N43" s="70"/>
    </row>
    <row r="44" spans="1:14" ht="49.2" customHeight="1" x14ac:dyDescent="0.3">
      <c r="A44" s="7">
        <v>8</v>
      </c>
      <c r="B44" s="124" t="s">
        <v>986</v>
      </c>
      <c r="C44" s="70"/>
      <c r="D44" s="125" t="s">
        <v>988</v>
      </c>
      <c r="E44" s="69"/>
      <c r="F44" s="70"/>
      <c r="G44" s="125" t="s">
        <v>987</v>
      </c>
      <c r="H44" s="69"/>
      <c r="I44" s="70"/>
      <c r="J44" s="7" t="s">
        <v>98</v>
      </c>
      <c r="K44" s="125" t="s">
        <v>989</v>
      </c>
      <c r="L44" s="70"/>
      <c r="M44" s="126" t="s">
        <v>990</v>
      </c>
      <c r="N44" s="70"/>
    </row>
    <row r="45" spans="1:14" ht="45" customHeight="1" x14ac:dyDescent="0.3">
      <c r="A45" s="7">
        <v>9</v>
      </c>
      <c r="B45" s="89" t="s">
        <v>106</v>
      </c>
      <c r="C45" s="70"/>
      <c r="D45" s="83" t="s">
        <v>107</v>
      </c>
      <c r="E45" s="69"/>
      <c r="F45" s="70"/>
      <c r="G45" s="83" t="s">
        <v>108</v>
      </c>
      <c r="H45" s="69"/>
      <c r="I45" s="70"/>
      <c r="J45" s="7" t="s">
        <v>98</v>
      </c>
      <c r="K45" s="83" t="s">
        <v>109</v>
      </c>
      <c r="L45" s="70"/>
      <c r="M45" s="73" t="s">
        <v>110</v>
      </c>
      <c r="N45" s="70"/>
    </row>
    <row r="46" spans="1:14" ht="45" customHeight="1" x14ac:dyDescent="0.3">
      <c r="A46" s="7">
        <v>10</v>
      </c>
      <c r="B46" s="89" t="s">
        <v>111</v>
      </c>
      <c r="C46" s="70"/>
      <c r="D46" s="83" t="s">
        <v>112</v>
      </c>
      <c r="E46" s="69"/>
      <c r="F46" s="70"/>
      <c r="G46" s="83" t="s">
        <v>113</v>
      </c>
      <c r="H46" s="69"/>
      <c r="I46" s="70"/>
      <c r="J46" s="7" t="s">
        <v>98</v>
      </c>
      <c r="K46" s="83" t="s">
        <v>114</v>
      </c>
      <c r="L46" s="70"/>
      <c r="M46" s="73" t="s">
        <v>115</v>
      </c>
      <c r="N46" s="70"/>
    </row>
    <row r="47" spans="1:14" ht="18" customHeight="1" x14ac:dyDescent="0.3">
      <c r="A47" s="23"/>
      <c r="B47" s="23"/>
      <c r="C47" s="23"/>
      <c r="D47" s="23"/>
      <c r="E47" s="23"/>
      <c r="F47" s="23"/>
      <c r="G47" s="23"/>
      <c r="H47" s="23"/>
      <c r="I47" s="23"/>
      <c r="J47" s="23"/>
      <c r="K47" s="23"/>
      <c r="L47" s="23"/>
      <c r="M47" s="23"/>
      <c r="N47" s="23"/>
    </row>
    <row r="48" spans="1:14" ht="18" customHeight="1" x14ac:dyDescent="0.3">
      <c r="A48" s="68" t="s">
        <v>116</v>
      </c>
      <c r="B48" s="69"/>
      <c r="C48" s="69"/>
      <c r="D48" s="69"/>
      <c r="E48" s="69"/>
      <c r="F48" s="69"/>
      <c r="G48" s="69"/>
      <c r="H48" s="69"/>
      <c r="I48" s="69"/>
      <c r="J48" s="69"/>
      <c r="K48" s="69"/>
      <c r="L48" s="69"/>
      <c r="M48" s="69"/>
      <c r="N48" s="70"/>
    </row>
    <row r="49" spans="1:14" ht="18" customHeight="1" x14ac:dyDescent="0.3">
      <c r="A49" s="80" t="s">
        <v>76</v>
      </c>
      <c r="B49" s="70"/>
      <c r="C49" s="80" t="s">
        <v>117</v>
      </c>
      <c r="D49" s="69"/>
      <c r="E49" s="69"/>
      <c r="F49" s="69"/>
      <c r="G49" s="69"/>
      <c r="H49" s="69"/>
      <c r="I49" s="70"/>
      <c r="J49" s="80" t="s">
        <v>118</v>
      </c>
      <c r="K49" s="70"/>
      <c r="L49" s="80" t="s">
        <v>119</v>
      </c>
      <c r="M49" s="70"/>
      <c r="N49" s="1" t="s">
        <v>120</v>
      </c>
    </row>
    <row r="50" spans="1:14" ht="45" customHeight="1" x14ac:dyDescent="0.3">
      <c r="A50" s="91" t="s">
        <v>121</v>
      </c>
      <c r="B50" s="70"/>
      <c r="C50" s="88" t="s">
        <v>122</v>
      </c>
      <c r="D50" s="69"/>
      <c r="E50" s="69"/>
      <c r="F50" s="69"/>
      <c r="G50" s="69"/>
      <c r="H50" s="69"/>
      <c r="I50" s="70"/>
      <c r="J50" s="105" t="s">
        <v>84</v>
      </c>
      <c r="K50" s="70"/>
      <c r="L50" s="105" t="s">
        <v>123</v>
      </c>
      <c r="M50" s="70"/>
      <c r="N50" s="8" t="s">
        <v>124</v>
      </c>
    </row>
    <row r="51" spans="1:14" ht="45" customHeight="1" x14ac:dyDescent="0.3">
      <c r="A51" s="91" t="s">
        <v>121</v>
      </c>
      <c r="B51" s="70"/>
      <c r="C51" s="88" t="s">
        <v>125</v>
      </c>
      <c r="D51" s="69"/>
      <c r="E51" s="69"/>
      <c r="F51" s="69"/>
      <c r="G51" s="69"/>
      <c r="H51" s="69"/>
      <c r="I51" s="70"/>
      <c r="J51" s="105" t="s">
        <v>100</v>
      </c>
      <c r="K51" s="70"/>
      <c r="L51" s="105" t="s">
        <v>126</v>
      </c>
      <c r="M51" s="70"/>
      <c r="N51" s="8" t="s">
        <v>124</v>
      </c>
    </row>
    <row r="52" spans="1:14" ht="45" customHeight="1" x14ac:dyDescent="0.3">
      <c r="A52" s="78" t="s">
        <v>127</v>
      </c>
      <c r="B52" s="70"/>
      <c r="C52" s="71" t="s">
        <v>128</v>
      </c>
      <c r="D52" s="69"/>
      <c r="E52" s="69"/>
      <c r="F52" s="69"/>
      <c r="G52" s="69"/>
      <c r="H52" s="69"/>
      <c r="I52" s="70"/>
      <c r="J52" s="102" t="s">
        <v>89</v>
      </c>
      <c r="K52" s="70"/>
      <c r="L52" s="102" t="s">
        <v>129</v>
      </c>
      <c r="M52" s="70"/>
      <c r="N52" s="6" t="s">
        <v>124</v>
      </c>
    </row>
    <row r="53" spans="1:14" ht="45" customHeight="1" x14ac:dyDescent="0.3">
      <c r="A53" s="78" t="s">
        <v>127</v>
      </c>
      <c r="B53" s="70"/>
      <c r="C53" s="71" t="s">
        <v>130</v>
      </c>
      <c r="D53" s="69"/>
      <c r="E53" s="69"/>
      <c r="F53" s="69"/>
      <c r="G53" s="69"/>
      <c r="H53" s="69"/>
      <c r="I53" s="70"/>
      <c r="J53" s="102" t="s">
        <v>131</v>
      </c>
      <c r="K53" s="70"/>
      <c r="L53" s="102" t="s">
        <v>132</v>
      </c>
      <c r="M53" s="70"/>
      <c r="N53" s="6" t="s">
        <v>124</v>
      </c>
    </row>
    <row r="54" spans="1:14" ht="45" customHeight="1" x14ac:dyDescent="0.3">
      <c r="A54" s="78" t="s">
        <v>127</v>
      </c>
      <c r="B54" s="70"/>
      <c r="C54" s="71" t="s">
        <v>133</v>
      </c>
      <c r="D54" s="69"/>
      <c r="E54" s="69"/>
      <c r="F54" s="69"/>
      <c r="G54" s="69"/>
      <c r="H54" s="69"/>
      <c r="I54" s="70"/>
      <c r="J54" s="102" t="s">
        <v>110</v>
      </c>
      <c r="K54" s="70"/>
      <c r="L54" s="102" t="s">
        <v>123</v>
      </c>
      <c r="M54" s="70"/>
      <c r="N54" s="6" t="s">
        <v>124</v>
      </c>
    </row>
    <row r="55" spans="1:14" ht="30" customHeight="1" x14ac:dyDescent="0.3">
      <c r="A55" s="73" t="s">
        <v>134</v>
      </c>
      <c r="B55" s="70"/>
      <c r="C55" s="83" t="s">
        <v>135</v>
      </c>
      <c r="D55" s="69"/>
      <c r="E55" s="69"/>
      <c r="F55" s="69"/>
      <c r="G55" s="69"/>
      <c r="H55" s="69"/>
      <c r="I55" s="70"/>
      <c r="J55" s="82" t="s">
        <v>136</v>
      </c>
      <c r="K55" s="70"/>
      <c r="L55" s="82" t="s">
        <v>126</v>
      </c>
      <c r="M55" s="70"/>
      <c r="N55" s="7" t="s">
        <v>124</v>
      </c>
    </row>
    <row r="56" spans="1:14" ht="30" customHeight="1" x14ac:dyDescent="0.3">
      <c r="A56" s="73" t="s">
        <v>134</v>
      </c>
      <c r="B56" s="70"/>
      <c r="C56" s="83" t="s">
        <v>137</v>
      </c>
      <c r="D56" s="69"/>
      <c r="E56" s="69"/>
      <c r="F56" s="69"/>
      <c r="G56" s="69"/>
      <c r="H56" s="69"/>
      <c r="I56" s="70"/>
      <c r="J56" s="82" t="s">
        <v>138</v>
      </c>
      <c r="K56" s="70"/>
      <c r="L56" s="82" t="s">
        <v>132</v>
      </c>
      <c r="M56" s="70"/>
      <c r="N56" s="7" t="s">
        <v>124</v>
      </c>
    </row>
    <row r="57" spans="1:14" ht="30" customHeight="1" x14ac:dyDescent="0.3">
      <c r="A57" s="73" t="s">
        <v>134</v>
      </c>
      <c r="B57" s="70"/>
      <c r="C57" s="83" t="s">
        <v>139</v>
      </c>
      <c r="D57" s="69"/>
      <c r="E57" s="69"/>
      <c r="F57" s="69"/>
      <c r="G57" s="69"/>
      <c r="H57" s="69"/>
      <c r="I57" s="70"/>
      <c r="J57" s="82" t="s">
        <v>140</v>
      </c>
      <c r="K57" s="70"/>
      <c r="L57" s="82" t="s">
        <v>141</v>
      </c>
      <c r="M57" s="70"/>
      <c r="N57" s="7" t="s">
        <v>124</v>
      </c>
    </row>
    <row r="58" spans="1:14" ht="30" customHeight="1" x14ac:dyDescent="0.3">
      <c r="A58" s="73" t="s">
        <v>134</v>
      </c>
      <c r="B58" s="70"/>
      <c r="C58" s="83" t="s">
        <v>142</v>
      </c>
      <c r="D58" s="69"/>
      <c r="E58" s="69"/>
      <c r="F58" s="69"/>
      <c r="G58" s="69"/>
      <c r="H58" s="69"/>
      <c r="I58" s="70"/>
      <c r="J58" s="82" t="s">
        <v>143</v>
      </c>
      <c r="K58" s="70"/>
      <c r="L58" s="82" t="s">
        <v>141</v>
      </c>
      <c r="M58" s="70"/>
      <c r="N58" s="7" t="s">
        <v>124</v>
      </c>
    </row>
    <row r="59" spans="1:14" ht="30" customHeight="1" x14ac:dyDescent="0.3">
      <c r="A59" s="86" t="s">
        <v>144</v>
      </c>
      <c r="B59" s="70"/>
      <c r="C59" s="98" t="s">
        <v>145</v>
      </c>
      <c r="D59" s="69"/>
      <c r="E59" s="69"/>
      <c r="F59" s="69"/>
      <c r="G59" s="69"/>
      <c r="H59" s="69"/>
      <c r="I59" s="70"/>
      <c r="J59" s="97" t="s">
        <v>146</v>
      </c>
      <c r="K59" s="70"/>
      <c r="L59" s="97" t="s">
        <v>147</v>
      </c>
      <c r="M59" s="70"/>
      <c r="N59" s="9" t="s">
        <v>148</v>
      </c>
    </row>
    <row r="60" spans="1:14" ht="45" customHeight="1" x14ac:dyDescent="0.3">
      <c r="A60" s="86" t="s">
        <v>144</v>
      </c>
      <c r="B60" s="70"/>
      <c r="C60" s="98" t="s">
        <v>149</v>
      </c>
      <c r="D60" s="69"/>
      <c r="E60" s="69"/>
      <c r="F60" s="69"/>
      <c r="G60" s="69"/>
      <c r="H60" s="69"/>
      <c r="I60" s="70"/>
      <c r="J60" s="97" t="s">
        <v>150</v>
      </c>
      <c r="K60" s="70"/>
      <c r="L60" s="97" t="s">
        <v>151</v>
      </c>
      <c r="M60" s="70"/>
      <c r="N60" s="9" t="s">
        <v>148</v>
      </c>
    </row>
    <row r="61" spans="1:14" ht="18" customHeight="1" x14ac:dyDescent="0.3">
      <c r="A61" s="23"/>
      <c r="B61" s="23"/>
      <c r="C61" s="23"/>
      <c r="D61" s="23"/>
      <c r="E61" s="23"/>
      <c r="F61" s="23"/>
      <c r="G61" s="23"/>
      <c r="H61" s="23"/>
      <c r="I61" s="23"/>
      <c r="J61" s="23"/>
      <c r="K61" s="23"/>
      <c r="L61" s="23"/>
      <c r="M61" s="23"/>
      <c r="N61" s="23"/>
    </row>
    <row r="62" spans="1:14" ht="18" customHeight="1" x14ac:dyDescent="0.3">
      <c r="A62" s="23"/>
      <c r="B62" s="23"/>
      <c r="C62" s="23"/>
      <c r="D62" s="23"/>
      <c r="E62" s="23"/>
      <c r="F62" s="23"/>
      <c r="G62" s="23"/>
      <c r="H62" s="23"/>
      <c r="I62" s="23"/>
      <c r="J62" s="23"/>
      <c r="K62" s="23"/>
      <c r="L62" s="23"/>
      <c r="M62" s="23"/>
      <c r="N62" s="23"/>
    </row>
    <row r="63" spans="1:14" ht="18" customHeight="1" x14ac:dyDescent="0.3">
      <c r="A63" s="106" t="s">
        <v>152</v>
      </c>
      <c r="B63" s="69"/>
      <c r="C63" s="69"/>
      <c r="D63" s="69"/>
      <c r="E63" s="69"/>
      <c r="F63" s="69"/>
      <c r="G63" s="69"/>
      <c r="H63" s="69"/>
      <c r="I63" s="69"/>
      <c r="J63" s="69"/>
      <c r="K63" s="69"/>
      <c r="L63" s="69"/>
      <c r="M63" s="69"/>
      <c r="N63" s="70"/>
    </row>
    <row r="64" spans="1:14" ht="18" customHeight="1" x14ac:dyDescent="0.3">
      <c r="A64" s="10" t="s">
        <v>153</v>
      </c>
      <c r="B64" s="95" t="s">
        <v>154</v>
      </c>
      <c r="C64" s="69"/>
      <c r="D64" s="70"/>
      <c r="E64" s="95" t="s">
        <v>155</v>
      </c>
      <c r="F64" s="70"/>
      <c r="G64" s="95" t="s">
        <v>156</v>
      </c>
      <c r="H64" s="70"/>
      <c r="I64" s="95" t="s">
        <v>157</v>
      </c>
      <c r="J64" s="70"/>
      <c r="K64" s="95" t="s">
        <v>158</v>
      </c>
      <c r="L64" s="70"/>
      <c r="M64" s="10" t="s">
        <v>159</v>
      </c>
      <c r="N64" s="10" t="s">
        <v>160</v>
      </c>
    </row>
    <row r="65" spans="1:14" ht="18" customHeight="1" x14ac:dyDescent="0.3">
      <c r="A65" s="3">
        <v>1</v>
      </c>
      <c r="B65" s="75" t="s">
        <v>161</v>
      </c>
      <c r="C65" s="69"/>
      <c r="D65" s="70"/>
      <c r="E65" s="77">
        <v>165000000</v>
      </c>
      <c r="F65" s="70"/>
      <c r="G65" s="77">
        <v>103000000</v>
      </c>
      <c r="H65" s="70"/>
      <c r="I65" s="77">
        <v>8000000</v>
      </c>
      <c r="J65" s="70"/>
      <c r="K65" s="77">
        <v>8000000</v>
      </c>
      <c r="L65" s="70"/>
      <c r="M65" s="3">
        <v>8000000</v>
      </c>
      <c r="N65" s="2" t="s">
        <v>162</v>
      </c>
    </row>
    <row r="66" spans="1:14" ht="18" customHeight="1" x14ac:dyDescent="0.3">
      <c r="A66" s="5">
        <v>2</v>
      </c>
      <c r="B66" s="76" t="s">
        <v>163</v>
      </c>
      <c r="C66" s="69"/>
      <c r="D66" s="70"/>
      <c r="E66" s="79">
        <v>852070000</v>
      </c>
      <c r="F66" s="70"/>
      <c r="G66" s="79">
        <v>265000000</v>
      </c>
      <c r="H66" s="70"/>
      <c r="I66" s="79">
        <v>104069430</v>
      </c>
      <c r="J66" s="70"/>
      <c r="K66" s="81"/>
      <c r="L66" s="70"/>
      <c r="M66" s="5"/>
      <c r="N66" s="4"/>
    </row>
    <row r="67" spans="1:14" ht="18" customHeight="1" x14ac:dyDescent="0.3">
      <c r="A67" s="3">
        <v>3</v>
      </c>
      <c r="B67" s="75" t="s">
        <v>164</v>
      </c>
      <c r="C67" s="69"/>
      <c r="D67" s="70"/>
      <c r="E67" s="77">
        <v>150000000</v>
      </c>
      <c r="F67" s="70"/>
      <c r="G67" s="77">
        <v>35000000</v>
      </c>
      <c r="H67" s="70"/>
      <c r="I67" s="77">
        <v>10040850</v>
      </c>
      <c r="J67" s="70"/>
      <c r="K67" s="72"/>
      <c r="L67" s="70"/>
      <c r="M67" s="3"/>
      <c r="N67" s="2"/>
    </row>
    <row r="68" spans="1:14" ht="18" customHeight="1" x14ac:dyDescent="0.3">
      <c r="A68" s="5">
        <v>4</v>
      </c>
      <c r="B68" s="76" t="s">
        <v>165</v>
      </c>
      <c r="C68" s="69"/>
      <c r="D68" s="70"/>
      <c r="E68" s="79">
        <v>197620000</v>
      </c>
      <c r="F68" s="70"/>
      <c r="G68" s="79">
        <v>95000000</v>
      </c>
      <c r="H68" s="70"/>
      <c r="I68" s="79">
        <v>64188000</v>
      </c>
      <c r="J68" s="70"/>
      <c r="K68" s="81"/>
      <c r="L68" s="70"/>
      <c r="M68" s="5"/>
      <c r="N68" s="4"/>
    </row>
    <row r="69" spans="1:14" ht="30" customHeight="1" x14ac:dyDescent="0.3">
      <c r="A69" s="3">
        <v>5</v>
      </c>
      <c r="B69" s="75" t="s">
        <v>166</v>
      </c>
      <c r="C69" s="69"/>
      <c r="D69" s="70"/>
      <c r="E69" s="77">
        <v>22000000</v>
      </c>
      <c r="F69" s="70"/>
      <c r="G69" s="77">
        <v>13000000</v>
      </c>
      <c r="H69" s="70"/>
      <c r="I69" s="77">
        <v>-8000</v>
      </c>
      <c r="J69" s="70"/>
      <c r="K69" s="72"/>
      <c r="L69" s="70"/>
      <c r="M69" s="3"/>
      <c r="N69" s="2" t="s">
        <v>167</v>
      </c>
    </row>
    <row r="70" spans="1:14" ht="18" customHeight="1" x14ac:dyDescent="0.3">
      <c r="A70" s="5">
        <v>6</v>
      </c>
      <c r="B70" s="76" t="s">
        <v>168</v>
      </c>
      <c r="C70" s="69"/>
      <c r="D70" s="70"/>
      <c r="E70" s="79">
        <v>139500000</v>
      </c>
      <c r="F70" s="70"/>
      <c r="G70" s="79">
        <v>88000000</v>
      </c>
      <c r="H70" s="70"/>
      <c r="I70" s="79">
        <v>6408000</v>
      </c>
      <c r="J70" s="70"/>
      <c r="K70" s="81"/>
      <c r="L70" s="70"/>
      <c r="M70" s="5"/>
      <c r="N70" s="4"/>
    </row>
    <row r="71" spans="1:14" ht="18" customHeight="1" x14ac:dyDescent="0.3">
      <c r="A71" s="3">
        <v>7</v>
      </c>
      <c r="B71" s="75" t="s">
        <v>169</v>
      </c>
      <c r="C71" s="69"/>
      <c r="D71" s="70"/>
      <c r="E71" s="77">
        <v>79344600</v>
      </c>
      <c r="F71" s="70"/>
      <c r="G71" s="77">
        <v>40000000</v>
      </c>
      <c r="H71" s="70"/>
      <c r="I71" s="77">
        <v>14485140</v>
      </c>
      <c r="J71" s="70"/>
      <c r="K71" s="72"/>
      <c r="L71" s="70"/>
      <c r="M71" s="3"/>
      <c r="N71" s="2"/>
    </row>
    <row r="72" spans="1:14" ht="18" customHeight="1" x14ac:dyDescent="0.3">
      <c r="A72" s="5">
        <v>8</v>
      </c>
      <c r="B72" s="76" t="s">
        <v>170</v>
      </c>
      <c r="C72" s="69"/>
      <c r="D72" s="70"/>
      <c r="E72" s="79">
        <v>44000000</v>
      </c>
      <c r="F72" s="70"/>
      <c r="G72" s="79">
        <v>28000000</v>
      </c>
      <c r="H72" s="70"/>
      <c r="I72" s="79">
        <v>2989449</v>
      </c>
      <c r="J72" s="70"/>
      <c r="K72" s="81"/>
      <c r="L72" s="70"/>
      <c r="M72" s="5"/>
      <c r="N72" s="4"/>
    </row>
    <row r="73" spans="1:14" ht="18" customHeight="1" x14ac:dyDescent="0.3">
      <c r="A73" s="3">
        <v>9</v>
      </c>
      <c r="B73" s="75" t="s">
        <v>171</v>
      </c>
      <c r="C73" s="69"/>
      <c r="D73" s="70"/>
      <c r="E73" s="77">
        <v>82250000</v>
      </c>
      <c r="F73" s="70"/>
      <c r="G73" s="77">
        <v>23000000</v>
      </c>
      <c r="H73" s="70"/>
      <c r="I73" s="77">
        <v>5067447</v>
      </c>
      <c r="J73" s="70"/>
      <c r="K73" s="72"/>
      <c r="L73" s="70"/>
      <c r="M73" s="3"/>
      <c r="N73" s="2"/>
    </row>
    <row r="74" spans="1:14" ht="18" customHeight="1" x14ac:dyDescent="0.3">
      <c r="A74" s="5">
        <v>24</v>
      </c>
      <c r="B74" s="76" t="s">
        <v>172</v>
      </c>
      <c r="C74" s="69"/>
      <c r="D74" s="70"/>
      <c r="E74" s="79">
        <v>14000000</v>
      </c>
      <c r="F74" s="70"/>
      <c r="G74" s="79">
        <v>0</v>
      </c>
      <c r="H74" s="70"/>
      <c r="I74" s="79">
        <v>0</v>
      </c>
      <c r="J74" s="70"/>
      <c r="K74" s="81"/>
      <c r="L74" s="70"/>
      <c r="M74" s="5"/>
      <c r="N74" s="4"/>
    </row>
    <row r="75" spans="1:14" ht="18" customHeight="1" x14ac:dyDescent="0.3">
      <c r="A75" s="3">
        <v>10</v>
      </c>
      <c r="B75" s="75" t="s">
        <v>173</v>
      </c>
      <c r="C75" s="69"/>
      <c r="D75" s="70"/>
      <c r="E75" s="77">
        <v>130000000</v>
      </c>
      <c r="F75" s="70"/>
      <c r="G75" s="77">
        <v>30000000</v>
      </c>
      <c r="H75" s="70"/>
      <c r="I75" s="77">
        <v>17180848</v>
      </c>
      <c r="J75" s="70"/>
      <c r="K75" s="72"/>
      <c r="L75" s="70"/>
      <c r="M75" s="3"/>
      <c r="N75" s="2"/>
    </row>
    <row r="76" spans="1:14" ht="18" customHeight="1" x14ac:dyDescent="0.3">
      <c r="A76" s="5">
        <v>11</v>
      </c>
      <c r="B76" s="76" t="s">
        <v>174</v>
      </c>
      <c r="C76" s="69"/>
      <c r="D76" s="70"/>
      <c r="E76" s="79">
        <v>24000000</v>
      </c>
      <c r="F76" s="70"/>
      <c r="G76" s="79">
        <v>14000000</v>
      </c>
      <c r="H76" s="70"/>
      <c r="I76" s="79">
        <v>2016000</v>
      </c>
      <c r="J76" s="70"/>
      <c r="K76" s="81"/>
      <c r="L76" s="70"/>
      <c r="M76" s="5"/>
      <c r="N76" s="4"/>
    </row>
    <row r="77" spans="1:14" ht="18" customHeight="1" x14ac:dyDescent="0.3">
      <c r="A77" s="3">
        <v>12</v>
      </c>
      <c r="B77" s="75" t="s">
        <v>175</v>
      </c>
      <c r="C77" s="69"/>
      <c r="D77" s="70"/>
      <c r="E77" s="77">
        <v>375600000</v>
      </c>
      <c r="F77" s="70"/>
      <c r="G77" s="77">
        <v>140000000</v>
      </c>
      <c r="H77" s="70"/>
      <c r="I77" s="77">
        <v>9508496</v>
      </c>
      <c r="J77" s="70"/>
      <c r="K77" s="72"/>
      <c r="L77" s="70"/>
      <c r="M77" s="3"/>
      <c r="N77" s="2"/>
    </row>
    <row r="78" spans="1:14" ht="18" customHeight="1" x14ac:dyDescent="0.3">
      <c r="A78" s="95" t="s">
        <v>70</v>
      </c>
      <c r="B78" s="69"/>
      <c r="C78" s="69"/>
      <c r="D78" s="70"/>
      <c r="E78" s="90">
        <v>2275384600</v>
      </c>
      <c r="F78" s="70"/>
      <c r="G78" s="90">
        <v>874000000</v>
      </c>
      <c r="H78" s="70"/>
      <c r="I78" s="90">
        <v>243945660</v>
      </c>
      <c r="J78" s="70"/>
      <c r="K78" s="23"/>
      <c r="L78" s="23"/>
      <c r="M78" s="23"/>
      <c r="N78" s="23"/>
    </row>
    <row r="79" spans="1:14" ht="18" customHeight="1" x14ac:dyDescent="0.3">
      <c r="A79" s="23"/>
      <c r="B79" s="23"/>
      <c r="C79" s="23"/>
      <c r="D79" s="23"/>
      <c r="E79" s="23"/>
      <c r="F79" s="23"/>
      <c r="G79" s="23"/>
      <c r="H79" s="23"/>
      <c r="I79" s="23"/>
      <c r="J79" s="23"/>
      <c r="K79" s="23"/>
      <c r="L79" s="23"/>
      <c r="M79" s="23"/>
      <c r="N79" s="23"/>
    </row>
    <row r="80" spans="1:14" ht="18" customHeight="1" x14ac:dyDescent="0.3">
      <c r="A80" s="94" t="s">
        <v>176</v>
      </c>
      <c r="B80" s="69"/>
      <c r="C80" s="69"/>
      <c r="D80" s="69"/>
      <c r="E80" s="69"/>
      <c r="F80" s="69"/>
      <c r="G80" s="69"/>
      <c r="H80" s="69"/>
      <c r="I80" s="69"/>
      <c r="J80" s="69"/>
      <c r="K80" s="69"/>
      <c r="L80" s="69"/>
      <c r="M80" s="69"/>
      <c r="N80" s="70"/>
    </row>
    <row r="81" spans="1:14" ht="18" customHeight="1" x14ac:dyDescent="0.3">
      <c r="A81" s="80" t="s">
        <v>177</v>
      </c>
      <c r="B81" s="69"/>
      <c r="C81" s="70"/>
      <c r="D81" s="80" t="s">
        <v>178</v>
      </c>
      <c r="E81" s="69"/>
      <c r="F81" s="70"/>
      <c r="G81" s="80" t="s">
        <v>179</v>
      </c>
      <c r="H81" s="70"/>
      <c r="I81" s="80" t="s">
        <v>180</v>
      </c>
      <c r="J81" s="70"/>
      <c r="K81" s="80" t="s">
        <v>181</v>
      </c>
      <c r="L81" s="70"/>
      <c r="M81" s="80" t="s">
        <v>182</v>
      </c>
      <c r="N81" s="70"/>
    </row>
    <row r="82" spans="1:14" ht="30" customHeight="1" x14ac:dyDescent="0.3">
      <c r="A82" s="75" t="s">
        <v>183</v>
      </c>
      <c r="B82" s="69"/>
      <c r="C82" s="70"/>
      <c r="D82" s="75" t="s">
        <v>184</v>
      </c>
      <c r="E82" s="69"/>
      <c r="F82" s="70"/>
      <c r="G82" s="72" t="s">
        <v>185</v>
      </c>
      <c r="H82" s="70"/>
      <c r="I82" s="72" t="s">
        <v>186</v>
      </c>
      <c r="J82" s="70"/>
      <c r="K82" s="72" t="s">
        <v>187</v>
      </c>
      <c r="L82" s="70"/>
      <c r="M82" s="72" t="s">
        <v>188</v>
      </c>
      <c r="N82" s="70"/>
    </row>
    <row r="83" spans="1:14" ht="30" customHeight="1" x14ac:dyDescent="0.3">
      <c r="A83" s="76" t="s">
        <v>189</v>
      </c>
      <c r="B83" s="69"/>
      <c r="C83" s="70"/>
      <c r="D83" s="76" t="s">
        <v>190</v>
      </c>
      <c r="E83" s="69"/>
      <c r="F83" s="70"/>
      <c r="G83" s="81" t="s">
        <v>186</v>
      </c>
      <c r="H83" s="70"/>
      <c r="I83" s="81" t="s">
        <v>191</v>
      </c>
      <c r="J83" s="70"/>
      <c r="K83" s="81" t="s">
        <v>192</v>
      </c>
      <c r="L83" s="70"/>
      <c r="M83" s="81" t="s">
        <v>193</v>
      </c>
      <c r="N83" s="70"/>
    </row>
    <row r="84" spans="1:14" ht="18" customHeight="1" x14ac:dyDescent="0.3">
      <c r="A84" s="75" t="s">
        <v>194</v>
      </c>
      <c r="B84" s="69"/>
      <c r="C84" s="70"/>
      <c r="D84" s="75" t="s">
        <v>195</v>
      </c>
      <c r="E84" s="69"/>
      <c r="F84" s="70"/>
      <c r="G84" s="72" t="s">
        <v>196</v>
      </c>
      <c r="H84" s="70"/>
      <c r="I84" s="72" t="s">
        <v>197</v>
      </c>
      <c r="J84" s="70"/>
      <c r="K84" s="72" t="s">
        <v>198</v>
      </c>
      <c r="L84" s="70"/>
      <c r="M84" s="72" t="s">
        <v>198</v>
      </c>
      <c r="N84" s="70"/>
    </row>
    <row r="85" spans="1:14" ht="18" customHeight="1" x14ac:dyDescent="0.3">
      <c r="A85" s="76" t="s">
        <v>199</v>
      </c>
      <c r="B85" s="69"/>
      <c r="C85" s="70"/>
      <c r="D85" s="76" t="s">
        <v>200</v>
      </c>
      <c r="E85" s="69"/>
      <c r="F85" s="70"/>
      <c r="G85" s="81" t="s">
        <v>201</v>
      </c>
      <c r="H85" s="70"/>
      <c r="I85" s="81" t="s">
        <v>202</v>
      </c>
      <c r="J85" s="70"/>
      <c r="K85" s="81" t="s">
        <v>198</v>
      </c>
      <c r="L85" s="70"/>
      <c r="M85" s="81" t="s">
        <v>198</v>
      </c>
      <c r="N85" s="70"/>
    </row>
    <row r="86" spans="1:14" ht="18" customHeight="1" x14ac:dyDescent="0.3">
      <c r="A86" s="75" t="s">
        <v>203</v>
      </c>
      <c r="B86" s="69"/>
      <c r="C86" s="70"/>
      <c r="D86" s="75" t="s">
        <v>204</v>
      </c>
      <c r="E86" s="69"/>
      <c r="F86" s="70"/>
      <c r="G86" s="72" t="s">
        <v>198</v>
      </c>
      <c r="H86" s="70"/>
      <c r="I86" s="72" t="s">
        <v>198</v>
      </c>
      <c r="J86" s="70"/>
      <c r="K86" s="72" t="s">
        <v>198</v>
      </c>
      <c r="L86" s="70"/>
      <c r="M86" s="72" t="s">
        <v>198</v>
      </c>
      <c r="N86" s="70"/>
    </row>
    <row r="87" spans="1:14" ht="18" customHeight="1" x14ac:dyDescent="0.3">
      <c r="A87" s="76" t="s">
        <v>205</v>
      </c>
      <c r="B87" s="69"/>
      <c r="C87" s="70"/>
      <c r="D87" s="76" t="s">
        <v>204</v>
      </c>
      <c r="E87" s="69"/>
      <c r="F87" s="70"/>
      <c r="G87" s="81" t="s">
        <v>198</v>
      </c>
      <c r="H87" s="70"/>
      <c r="I87" s="81" t="s">
        <v>198</v>
      </c>
      <c r="J87" s="70"/>
      <c r="K87" s="81" t="s">
        <v>198</v>
      </c>
      <c r="L87" s="70"/>
      <c r="M87" s="81" t="s">
        <v>198</v>
      </c>
      <c r="N87" s="70"/>
    </row>
    <row r="88" spans="1:14" ht="18" customHeight="1" x14ac:dyDescent="0.3">
      <c r="A88" s="23"/>
      <c r="B88" s="23"/>
      <c r="C88" s="23"/>
      <c r="D88" s="23"/>
      <c r="E88" s="23"/>
      <c r="F88" s="23"/>
      <c r="G88" s="23"/>
      <c r="H88" s="23"/>
      <c r="I88" s="23"/>
      <c r="J88" s="23"/>
      <c r="K88" s="23"/>
      <c r="L88" s="23"/>
      <c r="M88" s="23"/>
      <c r="N88" s="23"/>
    </row>
    <row r="89" spans="1:14" ht="30" customHeight="1" x14ac:dyDescent="0.3">
      <c r="A89" s="112" t="s">
        <v>206</v>
      </c>
      <c r="B89" s="69"/>
      <c r="C89" s="69"/>
      <c r="D89" s="69"/>
      <c r="E89" s="69"/>
      <c r="F89" s="69"/>
      <c r="G89" s="69"/>
      <c r="H89" s="69"/>
      <c r="I89" s="69"/>
      <c r="J89" s="69"/>
      <c r="K89" s="69"/>
      <c r="L89" s="69"/>
      <c r="M89" s="69"/>
      <c r="N89" s="70"/>
    </row>
  </sheetData>
  <mergeCells count="314">
    <mergeCell ref="A89:N89"/>
    <mergeCell ref="K65:L65"/>
    <mergeCell ref="A31:B31"/>
    <mergeCell ref="J17:K17"/>
    <mergeCell ref="G75:H75"/>
    <mergeCell ref="B40:C40"/>
    <mergeCell ref="D40:F40"/>
    <mergeCell ref="G40:I40"/>
    <mergeCell ref="K40:L40"/>
    <mergeCell ref="M40:N40"/>
    <mergeCell ref="B44:C44"/>
    <mergeCell ref="D44:F44"/>
    <mergeCell ref="G44:I44"/>
    <mergeCell ref="K44:L44"/>
    <mergeCell ref="M44:N44"/>
    <mergeCell ref="B41:C41"/>
    <mergeCell ref="D41:F41"/>
    <mergeCell ref="G41:I41"/>
    <mergeCell ref="K41:L41"/>
    <mergeCell ref="M41:N41"/>
    <mergeCell ref="I5:J5"/>
    <mergeCell ref="M83:N83"/>
    <mergeCell ref="C57:I57"/>
    <mergeCell ref="K64:L64"/>
    <mergeCell ref="K39:L39"/>
    <mergeCell ref="J50:K50"/>
    <mergeCell ref="K73:L73"/>
    <mergeCell ref="J59:K59"/>
    <mergeCell ref="C53:I53"/>
    <mergeCell ref="L59:M59"/>
    <mergeCell ref="A78:D78"/>
    <mergeCell ref="A29:B29"/>
    <mergeCell ref="A35:N35"/>
    <mergeCell ref="I81:J81"/>
    <mergeCell ref="K38:L38"/>
    <mergeCell ref="C59:I59"/>
    <mergeCell ref="B74:D74"/>
    <mergeCell ref="G39:I39"/>
    <mergeCell ref="J18:K18"/>
    <mergeCell ref="A13:B13"/>
    <mergeCell ref="B36:C36"/>
    <mergeCell ref="L52:M52"/>
    <mergeCell ref="C13:D13"/>
    <mergeCell ref="A81:C81"/>
    <mergeCell ref="M87:N87"/>
    <mergeCell ref="L58:M58"/>
    <mergeCell ref="B67:D67"/>
    <mergeCell ref="A53:B53"/>
    <mergeCell ref="G77:H77"/>
    <mergeCell ref="D38:F38"/>
    <mergeCell ref="G86:H86"/>
    <mergeCell ref="I71:J71"/>
    <mergeCell ref="L54:M54"/>
    <mergeCell ref="J57:K57"/>
    <mergeCell ref="A50:B50"/>
    <mergeCell ref="L57:M57"/>
    <mergeCell ref="D82:F82"/>
    <mergeCell ref="M45:N45"/>
    <mergeCell ref="I70:J70"/>
    <mergeCell ref="D84:F84"/>
    <mergeCell ref="A6:B6"/>
    <mergeCell ref="B72:D72"/>
    <mergeCell ref="B39:C39"/>
    <mergeCell ref="G85:H85"/>
    <mergeCell ref="J30:K30"/>
    <mergeCell ref="A16:B16"/>
    <mergeCell ref="C10:D10"/>
    <mergeCell ref="C16:D16"/>
    <mergeCell ref="A25:B25"/>
    <mergeCell ref="C25:D25"/>
    <mergeCell ref="J15:K15"/>
    <mergeCell ref="I78:J78"/>
    <mergeCell ref="A18:B18"/>
    <mergeCell ref="J58:K58"/>
    <mergeCell ref="E77:F77"/>
    <mergeCell ref="C11:D11"/>
    <mergeCell ref="J32:K32"/>
    <mergeCell ref="A20:B20"/>
    <mergeCell ref="D87:F87"/>
    <mergeCell ref="J55:K55"/>
    <mergeCell ref="I68:J68"/>
    <mergeCell ref="A24:B24"/>
    <mergeCell ref="C55:I55"/>
    <mergeCell ref="C24:D24"/>
    <mergeCell ref="B70:D70"/>
    <mergeCell ref="B64:D64"/>
    <mergeCell ref="C33:D33"/>
    <mergeCell ref="C26:D26"/>
    <mergeCell ref="K36:L36"/>
    <mergeCell ref="K87:L87"/>
    <mergeCell ref="A2:N2"/>
    <mergeCell ref="I65:J65"/>
    <mergeCell ref="A5:B5"/>
    <mergeCell ref="J25:K25"/>
    <mergeCell ref="A32:B32"/>
    <mergeCell ref="G42:I42"/>
    <mergeCell ref="A14:B14"/>
    <mergeCell ref="L53:M53"/>
    <mergeCell ref="K74:L74"/>
    <mergeCell ref="E64:F64"/>
    <mergeCell ref="A23:B23"/>
    <mergeCell ref="C23:D23"/>
    <mergeCell ref="E73:F73"/>
    <mergeCell ref="G67:H67"/>
    <mergeCell ref="C58:I58"/>
    <mergeCell ref="I67:J67"/>
    <mergeCell ref="C32:D32"/>
    <mergeCell ref="C7:D7"/>
    <mergeCell ref="J53:K53"/>
    <mergeCell ref="L55:M55"/>
    <mergeCell ref="B69:D69"/>
    <mergeCell ref="K68:L68"/>
    <mergeCell ref="M38:N38"/>
    <mergeCell ref="G66:H66"/>
    <mergeCell ref="A58:B58"/>
    <mergeCell ref="C12:D12"/>
    <mergeCell ref="A21:B21"/>
    <mergeCell ref="D85:F85"/>
    <mergeCell ref="C21:D21"/>
    <mergeCell ref="B66:D66"/>
    <mergeCell ref="A60:B60"/>
    <mergeCell ref="M84:N84"/>
    <mergeCell ref="J16:K16"/>
    <mergeCell ref="M37:N37"/>
    <mergeCell ref="G83:H83"/>
    <mergeCell ref="G82:H82"/>
    <mergeCell ref="G76:H76"/>
    <mergeCell ref="I82:J82"/>
    <mergeCell ref="I76:J76"/>
    <mergeCell ref="E75:F75"/>
    <mergeCell ref="K76:L76"/>
    <mergeCell ref="A82:C82"/>
    <mergeCell ref="I66:J66"/>
    <mergeCell ref="D36:F36"/>
    <mergeCell ref="J14:K14"/>
    <mergeCell ref="J13:K13"/>
    <mergeCell ref="A87:C87"/>
    <mergeCell ref="A52:B52"/>
    <mergeCell ref="A63:N63"/>
    <mergeCell ref="M39:N39"/>
    <mergeCell ref="L50:M50"/>
    <mergeCell ref="D81:F81"/>
    <mergeCell ref="F7:G7"/>
    <mergeCell ref="B46:C46"/>
    <mergeCell ref="C20:D20"/>
    <mergeCell ref="C29:D29"/>
    <mergeCell ref="J24:K24"/>
    <mergeCell ref="M81:N81"/>
    <mergeCell ref="C52:I52"/>
    <mergeCell ref="B45:C45"/>
    <mergeCell ref="C22:D22"/>
    <mergeCell ref="B68:D68"/>
    <mergeCell ref="E72:F72"/>
    <mergeCell ref="G72:H72"/>
    <mergeCell ref="C31:D31"/>
    <mergeCell ref="K42:L42"/>
    <mergeCell ref="G81:H81"/>
    <mergeCell ref="M42:N42"/>
    <mergeCell ref="J26:K26"/>
    <mergeCell ref="A12:B12"/>
    <mergeCell ref="I77:J77"/>
    <mergeCell ref="L51:M51"/>
    <mergeCell ref="K77:L77"/>
    <mergeCell ref="K71:L71"/>
    <mergeCell ref="K86:L86"/>
    <mergeCell ref="J29:K29"/>
    <mergeCell ref="M86:N86"/>
    <mergeCell ref="C51:I51"/>
    <mergeCell ref="E71:F71"/>
    <mergeCell ref="D45:F45"/>
    <mergeCell ref="A1:N1"/>
    <mergeCell ref="K67:L67"/>
    <mergeCell ref="K82:L82"/>
    <mergeCell ref="I7:J7"/>
    <mergeCell ref="I75:J75"/>
    <mergeCell ref="F5:G5"/>
    <mergeCell ref="K66:L66"/>
    <mergeCell ref="A49:B49"/>
    <mergeCell ref="K43:L43"/>
    <mergeCell ref="K75:L75"/>
    <mergeCell ref="J52:K52"/>
    <mergeCell ref="B77:D77"/>
    <mergeCell ref="J27:K27"/>
    <mergeCell ref="G65:H65"/>
    <mergeCell ref="B71:D71"/>
    <mergeCell ref="A26:B26"/>
    <mergeCell ref="A3:N3"/>
    <mergeCell ref="J11:K11"/>
    <mergeCell ref="J20:K20"/>
    <mergeCell ref="K46:L46"/>
    <mergeCell ref="G43:I43"/>
    <mergeCell ref="B37:C37"/>
    <mergeCell ref="G68:H68"/>
    <mergeCell ref="M43:N43"/>
    <mergeCell ref="C5:D5"/>
    <mergeCell ref="E70:F70"/>
    <mergeCell ref="I83:J83"/>
    <mergeCell ref="B76:D76"/>
    <mergeCell ref="C14:D14"/>
    <mergeCell ref="F6:G6"/>
    <mergeCell ref="J60:K60"/>
    <mergeCell ref="L60:M60"/>
    <mergeCell ref="G64:H64"/>
    <mergeCell ref="G70:H70"/>
    <mergeCell ref="I64:J64"/>
    <mergeCell ref="G73:H73"/>
    <mergeCell ref="K83:L83"/>
    <mergeCell ref="I73:J73"/>
    <mergeCell ref="D46:F46"/>
    <mergeCell ref="C60:I60"/>
    <mergeCell ref="J22:K22"/>
    <mergeCell ref="G46:I46"/>
    <mergeCell ref="J12:K12"/>
    <mergeCell ref="A55:B55"/>
    <mergeCell ref="L6:M6"/>
    <mergeCell ref="J49:K49"/>
    <mergeCell ref="L49:M49"/>
    <mergeCell ref="A10:B10"/>
    <mergeCell ref="I87:J87"/>
    <mergeCell ref="G87:H87"/>
    <mergeCell ref="K72:L72"/>
    <mergeCell ref="K81:L81"/>
    <mergeCell ref="A51:B51"/>
    <mergeCell ref="A30:B30"/>
    <mergeCell ref="I6:J6"/>
    <mergeCell ref="L7:M7"/>
    <mergeCell ref="C30:D30"/>
    <mergeCell ref="D43:F43"/>
    <mergeCell ref="G37:I37"/>
    <mergeCell ref="A80:N80"/>
    <mergeCell ref="A11:B11"/>
    <mergeCell ref="D86:F86"/>
    <mergeCell ref="A84:C84"/>
    <mergeCell ref="A85:C85"/>
    <mergeCell ref="I85:J85"/>
    <mergeCell ref="K85:L85"/>
    <mergeCell ref="D42:F42"/>
    <mergeCell ref="J54:K54"/>
    <mergeCell ref="K69:L69"/>
    <mergeCell ref="C49:I49"/>
    <mergeCell ref="E69:F69"/>
    <mergeCell ref="C18:D18"/>
    <mergeCell ref="B65:D65"/>
    <mergeCell ref="C17:D17"/>
    <mergeCell ref="A86:C86"/>
    <mergeCell ref="I86:J86"/>
    <mergeCell ref="A22:B22"/>
    <mergeCell ref="A56:B56"/>
    <mergeCell ref="B75:D75"/>
    <mergeCell ref="J21:K21"/>
    <mergeCell ref="G36:I36"/>
    <mergeCell ref="G45:I45"/>
    <mergeCell ref="D83:F83"/>
    <mergeCell ref="A19:B19"/>
    <mergeCell ref="C19:D19"/>
    <mergeCell ref="A28:B28"/>
    <mergeCell ref="C28:D28"/>
    <mergeCell ref="K37:L37"/>
    <mergeCell ref="B73:D73"/>
    <mergeCell ref="E78:F78"/>
    <mergeCell ref="G78:H78"/>
    <mergeCell ref="J23:K23"/>
    <mergeCell ref="B43:C43"/>
    <mergeCell ref="I72:J72"/>
    <mergeCell ref="C54:I54"/>
    <mergeCell ref="J51:K51"/>
    <mergeCell ref="M85:N85"/>
    <mergeCell ref="A57:B57"/>
    <mergeCell ref="A7:B7"/>
    <mergeCell ref="D37:F37"/>
    <mergeCell ref="K84:L84"/>
    <mergeCell ref="J56:K56"/>
    <mergeCell ref="E66:F66"/>
    <mergeCell ref="G69:H69"/>
    <mergeCell ref="L5:M5"/>
    <mergeCell ref="I74:J74"/>
    <mergeCell ref="I69:J69"/>
    <mergeCell ref="D39:F39"/>
    <mergeCell ref="A27:B27"/>
    <mergeCell ref="A59:B59"/>
    <mergeCell ref="E68:F68"/>
    <mergeCell ref="B38:C38"/>
    <mergeCell ref="K70:L70"/>
    <mergeCell ref="G71:H71"/>
    <mergeCell ref="A33:B33"/>
    <mergeCell ref="C27:D27"/>
    <mergeCell ref="K45:L45"/>
    <mergeCell ref="M36:N36"/>
    <mergeCell ref="C50:I50"/>
    <mergeCell ref="J31:K31"/>
    <mergeCell ref="A9:N9"/>
    <mergeCell ref="G38:I38"/>
    <mergeCell ref="G84:H84"/>
    <mergeCell ref="M46:N46"/>
    <mergeCell ref="C6:D6"/>
    <mergeCell ref="A15:B15"/>
    <mergeCell ref="I84:J84"/>
    <mergeCell ref="A83:C83"/>
    <mergeCell ref="C15:D15"/>
    <mergeCell ref="E65:F65"/>
    <mergeCell ref="A54:B54"/>
    <mergeCell ref="E74:F74"/>
    <mergeCell ref="J10:K10"/>
    <mergeCell ref="G74:H74"/>
    <mergeCell ref="J19:K19"/>
    <mergeCell ref="J28:K28"/>
    <mergeCell ref="A48:N48"/>
    <mergeCell ref="L56:M56"/>
    <mergeCell ref="M82:N82"/>
    <mergeCell ref="E67:F67"/>
    <mergeCell ref="C56:I56"/>
    <mergeCell ref="E76:F76"/>
    <mergeCell ref="A17:B17"/>
    <mergeCell ref="B42:C42"/>
  </mergeCells>
  <printOptions horizontalCentered="1"/>
  <pageMargins left="0.4" right="0.4" top="0.5" bottom="0.5" header="0.3" footer="0.3"/>
  <pageSetup paperSize="9" fitToHeight="0" orientation="landscape"/>
  <headerFooter>
    <oddHeader>&amp;C&amp;"Arial,Bold"&amp;10 INSPIRE AFRICA GROUP – CONSTRUCTION DEPARTMENT</oddHeader>
    <oddFooter>&amp;L&amp;8 Confidential | May 2026&amp;R&amp;8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45"/>
  <sheetViews>
    <sheetView workbookViewId="0">
      <selection sqref="A1:N1"/>
    </sheetView>
  </sheetViews>
  <sheetFormatPr defaultColWidth="8.6640625" defaultRowHeight="14.4" x14ac:dyDescent="0.3"/>
  <cols>
    <col min="1" max="1" width="4" customWidth="1"/>
    <col min="2" max="2" width="26" customWidth="1"/>
    <col min="3" max="3" width="32" customWidth="1"/>
    <col min="4" max="4" width="14" customWidth="1"/>
    <col min="5" max="5" width="12" customWidth="1"/>
    <col min="6" max="6" width="14" customWidth="1"/>
    <col min="7" max="7" width="8" customWidth="1"/>
    <col min="8" max="8" width="10" customWidth="1"/>
    <col min="9" max="12" width="26" customWidth="1"/>
    <col min="13" max="13" width="16" customWidth="1"/>
    <col min="14" max="14" width="26" customWidth="1"/>
  </cols>
  <sheetData>
    <row r="1" spans="1:14" ht="22.35" customHeight="1" x14ac:dyDescent="0.3">
      <c r="A1" s="113" t="s">
        <v>207</v>
      </c>
      <c r="B1" s="69"/>
      <c r="C1" s="69"/>
      <c r="D1" s="69"/>
      <c r="E1" s="69"/>
      <c r="F1" s="69"/>
      <c r="G1" s="69"/>
      <c r="H1" s="69"/>
      <c r="I1" s="69"/>
      <c r="J1" s="69"/>
      <c r="K1" s="69"/>
      <c r="L1" s="69"/>
      <c r="M1" s="69"/>
      <c r="N1" s="70"/>
    </row>
    <row r="2" spans="1:14" ht="25.65" customHeight="1" x14ac:dyDescent="0.3">
      <c r="A2" s="24" t="s">
        <v>208</v>
      </c>
      <c r="B2" s="24" t="s">
        <v>19</v>
      </c>
      <c r="C2" s="24" t="s">
        <v>209</v>
      </c>
      <c r="D2" s="24" t="s">
        <v>181</v>
      </c>
      <c r="E2" s="24" t="s">
        <v>210</v>
      </c>
      <c r="F2" s="24" t="s">
        <v>211</v>
      </c>
      <c r="G2" s="24" t="s">
        <v>212</v>
      </c>
      <c r="H2" s="24" t="s">
        <v>120</v>
      </c>
      <c r="I2" s="24" t="s">
        <v>213</v>
      </c>
      <c r="J2" s="24" t="s">
        <v>214</v>
      </c>
      <c r="K2" s="24" t="s">
        <v>215</v>
      </c>
      <c r="L2" s="24" t="s">
        <v>216</v>
      </c>
      <c r="M2" s="24" t="s">
        <v>217</v>
      </c>
      <c r="N2" s="24" t="s">
        <v>218</v>
      </c>
    </row>
    <row r="3" spans="1:14" ht="36" customHeight="1" x14ac:dyDescent="0.3">
      <c r="A3" s="25" t="s">
        <v>219</v>
      </c>
      <c r="B3" s="26" t="s">
        <v>220</v>
      </c>
      <c r="C3" s="26" t="s">
        <v>221</v>
      </c>
      <c r="D3" s="25" t="s">
        <v>222</v>
      </c>
      <c r="E3" s="25"/>
      <c r="F3" s="25"/>
      <c r="G3" s="27" t="s">
        <v>223</v>
      </c>
      <c r="H3" s="28" t="s">
        <v>23</v>
      </c>
      <c r="I3" s="26" t="s">
        <v>224</v>
      </c>
      <c r="J3" s="26" t="s">
        <v>225</v>
      </c>
      <c r="K3" s="26" t="s">
        <v>226</v>
      </c>
      <c r="L3" s="26" t="s">
        <v>227</v>
      </c>
      <c r="M3" s="26" t="s">
        <v>228</v>
      </c>
      <c r="N3" s="26" t="s">
        <v>229</v>
      </c>
    </row>
    <row r="4" spans="1:14" ht="36" customHeight="1" x14ac:dyDescent="0.3">
      <c r="A4" s="25" t="s">
        <v>230</v>
      </c>
      <c r="B4" s="29" t="s">
        <v>220</v>
      </c>
      <c r="C4" s="29" t="s">
        <v>231</v>
      </c>
      <c r="D4" s="30" t="s">
        <v>222</v>
      </c>
      <c r="E4" s="30" t="s">
        <v>232</v>
      </c>
      <c r="F4" s="30"/>
      <c r="G4" s="31" t="s">
        <v>233</v>
      </c>
      <c r="H4" s="28" t="s">
        <v>23</v>
      </c>
      <c r="I4" s="29" t="s">
        <v>234</v>
      </c>
      <c r="J4" s="29" t="s">
        <v>235</v>
      </c>
      <c r="K4" s="29" t="s">
        <v>236</v>
      </c>
      <c r="L4" s="29" t="s">
        <v>237</v>
      </c>
      <c r="M4" s="29" t="s">
        <v>238</v>
      </c>
      <c r="N4" s="29" t="s">
        <v>239</v>
      </c>
    </row>
    <row r="5" spans="1:14" ht="24" customHeight="1" x14ac:dyDescent="0.3">
      <c r="A5" s="25" t="s">
        <v>240</v>
      </c>
      <c r="B5" s="26" t="s">
        <v>220</v>
      </c>
      <c r="C5" s="26" t="s">
        <v>241</v>
      </c>
      <c r="D5" s="25" t="s">
        <v>242</v>
      </c>
      <c r="E5" s="25"/>
      <c r="F5" s="25"/>
      <c r="G5" s="27" t="s">
        <v>196</v>
      </c>
      <c r="H5" s="32" t="s">
        <v>21</v>
      </c>
      <c r="I5" s="26" t="s">
        <v>243</v>
      </c>
      <c r="J5" s="26" t="s">
        <v>244</v>
      </c>
      <c r="K5" s="26" t="s">
        <v>245</v>
      </c>
      <c r="L5" s="26" t="s">
        <v>246</v>
      </c>
      <c r="M5" s="26" t="s">
        <v>243</v>
      </c>
      <c r="N5" s="26" t="s">
        <v>243</v>
      </c>
    </row>
    <row r="6" spans="1:14" ht="24" customHeight="1" x14ac:dyDescent="0.3">
      <c r="A6" s="25" t="s">
        <v>247</v>
      </c>
      <c r="B6" s="29" t="s">
        <v>220</v>
      </c>
      <c r="C6" s="29" t="s">
        <v>248</v>
      </c>
      <c r="D6" s="30" t="s">
        <v>249</v>
      </c>
      <c r="E6" s="30"/>
      <c r="F6" s="30"/>
      <c r="G6" s="31" t="s">
        <v>223</v>
      </c>
      <c r="H6" s="28" t="s">
        <v>23</v>
      </c>
      <c r="I6" s="29" t="s">
        <v>250</v>
      </c>
      <c r="J6" s="29" t="s">
        <v>251</v>
      </c>
      <c r="K6" s="29" t="s">
        <v>252</v>
      </c>
      <c r="L6" s="29"/>
      <c r="M6" s="29"/>
      <c r="N6" s="29"/>
    </row>
    <row r="7" spans="1:14" ht="14.4" customHeight="1" x14ac:dyDescent="0.3">
      <c r="A7" s="25" t="s">
        <v>253</v>
      </c>
      <c r="B7" s="26" t="s">
        <v>220</v>
      </c>
      <c r="C7" s="26" t="s">
        <v>254</v>
      </c>
      <c r="D7" s="25" t="s">
        <v>255</v>
      </c>
      <c r="E7" s="25"/>
      <c r="F7" s="25"/>
      <c r="G7" s="27" t="s">
        <v>196</v>
      </c>
      <c r="H7" s="32" t="s">
        <v>21</v>
      </c>
      <c r="I7" s="26" t="s">
        <v>243</v>
      </c>
      <c r="J7" s="26" t="s">
        <v>244</v>
      </c>
      <c r="K7" s="26" t="s">
        <v>256</v>
      </c>
      <c r="L7" s="26"/>
      <c r="M7" s="26"/>
      <c r="N7" s="26"/>
    </row>
    <row r="8" spans="1:14" ht="14.4" customHeight="1" x14ac:dyDescent="0.3">
      <c r="A8" s="25" t="s">
        <v>257</v>
      </c>
      <c r="B8" s="29" t="s">
        <v>220</v>
      </c>
      <c r="C8" s="29" t="s">
        <v>258</v>
      </c>
      <c r="D8" s="30" t="s">
        <v>259</v>
      </c>
      <c r="E8" s="30"/>
      <c r="F8" s="30"/>
      <c r="G8" s="31" t="s">
        <v>196</v>
      </c>
      <c r="H8" s="32" t="s">
        <v>21</v>
      </c>
      <c r="I8" s="29" t="s">
        <v>243</v>
      </c>
      <c r="J8" s="29" t="s">
        <v>244</v>
      </c>
      <c r="K8" s="29" t="s">
        <v>260</v>
      </c>
      <c r="L8" s="29"/>
      <c r="M8" s="29"/>
      <c r="N8" s="29"/>
    </row>
    <row r="9" spans="1:14" ht="14.4" customHeight="1" x14ac:dyDescent="0.3">
      <c r="A9" s="25" t="s">
        <v>12</v>
      </c>
      <c r="B9" s="26" t="s">
        <v>220</v>
      </c>
      <c r="C9" s="26" t="s">
        <v>261</v>
      </c>
      <c r="D9" s="25" t="s">
        <v>262</v>
      </c>
      <c r="E9" s="25"/>
      <c r="F9" s="25"/>
      <c r="G9" s="27" t="s">
        <v>263</v>
      </c>
      <c r="H9" s="28" t="s">
        <v>23</v>
      </c>
      <c r="I9" s="26" t="s">
        <v>264</v>
      </c>
      <c r="J9" s="26" t="s">
        <v>265</v>
      </c>
      <c r="K9" s="26" t="s">
        <v>266</v>
      </c>
      <c r="L9" s="26"/>
      <c r="M9" s="26"/>
      <c r="N9" s="26"/>
    </row>
    <row r="10" spans="1:14" ht="14.4" customHeight="1" x14ac:dyDescent="0.3">
      <c r="A10" s="25" t="s">
        <v>267</v>
      </c>
      <c r="B10" s="29" t="s">
        <v>220</v>
      </c>
      <c r="C10" s="29" t="s">
        <v>268</v>
      </c>
      <c r="D10" s="30" t="s">
        <v>269</v>
      </c>
      <c r="E10" s="30"/>
      <c r="F10" s="30"/>
      <c r="G10" s="31" t="s">
        <v>270</v>
      </c>
      <c r="H10" s="33" t="s">
        <v>24</v>
      </c>
      <c r="I10" s="29" t="s">
        <v>271</v>
      </c>
      <c r="J10" s="29" t="s">
        <v>272</v>
      </c>
      <c r="K10" s="29" t="s">
        <v>273</v>
      </c>
      <c r="L10" s="29"/>
      <c r="M10" s="29"/>
      <c r="N10" s="29"/>
    </row>
    <row r="11" spans="1:14" ht="14.4" customHeight="1" x14ac:dyDescent="0.3">
      <c r="A11" s="25" t="s">
        <v>274</v>
      </c>
      <c r="B11" s="26" t="s">
        <v>220</v>
      </c>
      <c r="C11" s="26" t="s">
        <v>275</v>
      </c>
      <c r="D11" s="25" t="s">
        <v>276</v>
      </c>
      <c r="E11" s="25"/>
      <c r="F11" s="25"/>
      <c r="G11" s="27" t="s">
        <v>196</v>
      </c>
      <c r="H11" s="32" t="s">
        <v>21</v>
      </c>
      <c r="I11" s="26" t="s">
        <v>243</v>
      </c>
      <c r="J11" s="26" t="s">
        <v>277</v>
      </c>
      <c r="K11" s="26" t="s">
        <v>278</v>
      </c>
      <c r="L11" s="26"/>
      <c r="M11" s="26"/>
      <c r="N11" s="26"/>
    </row>
    <row r="12" spans="1:14" ht="14.4" customHeight="1" x14ac:dyDescent="0.3">
      <c r="A12" s="25" t="s">
        <v>279</v>
      </c>
      <c r="B12" s="29" t="s">
        <v>220</v>
      </c>
      <c r="C12" s="29" t="s">
        <v>280</v>
      </c>
      <c r="D12" s="30" t="s">
        <v>281</v>
      </c>
      <c r="E12" s="30"/>
      <c r="F12" s="30"/>
      <c r="G12" s="31" t="s">
        <v>196</v>
      </c>
      <c r="H12" s="32" t="s">
        <v>21</v>
      </c>
      <c r="I12" s="29" t="s">
        <v>243</v>
      </c>
      <c r="J12" s="29" t="s">
        <v>277</v>
      </c>
      <c r="K12" s="29" t="s">
        <v>282</v>
      </c>
      <c r="L12" s="29"/>
      <c r="M12" s="29"/>
      <c r="N12" s="29"/>
    </row>
    <row r="13" spans="1:14" ht="14.4" customHeight="1" x14ac:dyDescent="0.3">
      <c r="A13" s="25" t="s">
        <v>283</v>
      </c>
      <c r="B13" s="26" t="s">
        <v>220</v>
      </c>
      <c r="C13" s="26" t="s">
        <v>284</v>
      </c>
      <c r="D13" s="25" t="s">
        <v>285</v>
      </c>
      <c r="E13" s="25"/>
      <c r="F13" s="25"/>
      <c r="G13" s="27" t="s">
        <v>196</v>
      </c>
      <c r="H13" s="32" t="s">
        <v>21</v>
      </c>
      <c r="I13" s="26" t="s">
        <v>243</v>
      </c>
      <c r="J13" s="26" t="s">
        <v>277</v>
      </c>
      <c r="K13" s="26" t="s">
        <v>286</v>
      </c>
      <c r="L13" s="26"/>
      <c r="M13" s="26"/>
      <c r="N13" s="26"/>
    </row>
    <row r="14" spans="1:14" ht="14.4" customHeight="1" x14ac:dyDescent="0.3">
      <c r="A14" s="25" t="s">
        <v>287</v>
      </c>
      <c r="B14" s="29" t="s">
        <v>220</v>
      </c>
      <c r="C14" s="29" t="s">
        <v>288</v>
      </c>
      <c r="D14" s="30" t="s">
        <v>289</v>
      </c>
      <c r="E14" s="30"/>
      <c r="F14" s="30"/>
      <c r="G14" s="31" t="s">
        <v>196</v>
      </c>
      <c r="H14" s="32" t="s">
        <v>21</v>
      </c>
      <c r="I14" s="29" t="s">
        <v>243</v>
      </c>
      <c r="J14" s="29" t="s">
        <v>277</v>
      </c>
      <c r="K14" s="29" t="s">
        <v>290</v>
      </c>
      <c r="L14" s="29"/>
      <c r="M14" s="29"/>
      <c r="N14" s="29"/>
    </row>
    <row r="15" spans="1:14" ht="14.4" customHeight="1" x14ac:dyDescent="0.3">
      <c r="A15" s="25" t="s">
        <v>291</v>
      </c>
      <c r="B15" s="26" t="s">
        <v>220</v>
      </c>
      <c r="C15" s="26" t="s">
        <v>292</v>
      </c>
      <c r="D15" s="25" t="s">
        <v>293</v>
      </c>
      <c r="E15" s="25"/>
      <c r="F15" s="25"/>
      <c r="G15" s="27" t="s">
        <v>196</v>
      </c>
      <c r="H15" s="32" t="s">
        <v>21</v>
      </c>
      <c r="I15" s="26" t="s">
        <v>243</v>
      </c>
      <c r="J15" s="26" t="s">
        <v>277</v>
      </c>
      <c r="K15" s="26" t="s">
        <v>294</v>
      </c>
      <c r="L15" s="26"/>
      <c r="M15" s="26"/>
      <c r="N15" s="26"/>
    </row>
    <row r="16" spans="1:14" ht="14.4" customHeight="1" x14ac:dyDescent="0.3">
      <c r="A16" s="25" t="s">
        <v>295</v>
      </c>
      <c r="B16" s="29" t="s">
        <v>220</v>
      </c>
      <c r="C16" s="29" t="s">
        <v>296</v>
      </c>
      <c r="D16" s="30" t="s">
        <v>262</v>
      </c>
      <c r="E16" s="30"/>
      <c r="F16" s="30"/>
      <c r="G16" s="31" t="s">
        <v>297</v>
      </c>
      <c r="H16" s="33" t="s">
        <v>24</v>
      </c>
      <c r="I16" s="29" t="s">
        <v>298</v>
      </c>
      <c r="J16" s="29" t="s">
        <v>299</v>
      </c>
      <c r="K16" s="29" t="s">
        <v>300</v>
      </c>
      <c r="L16" s="29"/>
      <c r="M16" s="29"/>
      <c r="N16" s="29"/>
    </row>
    <row r="17" spans="1:14" ht="24" customHeight="1" x14ac:dyDescent="0.3">
      <c r="A17" s="25" t="s">
        <v>301</v>
      </c>
      <c r="B17" s="26" t="s">
        <v>220</v>
      </c>
      <c r="C17" s="26" t="s">
        <v>302</v>
      </c>
      <c r="D17" s="25" t="s">
        <v>303</v>
      </c>
      <c r="E17" s="25"/>
      <c r="F17" s="25"/>
      <c r="G17" s="27" t="s">
        <v>202</v>
      </c>
      <c r="H17" s="28" t="s">
        <v>23</v>
      </c>
      <c r="I17" s="26" t="s">
        <v>304</v>
      </c>
      <c r="J17" s="26" t="s">
        <v>305</v>
      </c>
      <c r="K17" s="26" t="s">
        <v>306</v>
      </c>
      <c r="L17" s="26"/>
      <c r="M17" s="26"/>
      <c r="N17" s="26"/>
    </row>
    <row r="18" spans="1:14" ht="14.4" customHeight="1" x14ac:dyDescent="0.3">
      <c r="A18" s="25" t="s">
        <v>307</v>
      </c>
      <c r="B18" s="29" t="s">
        <v>220</v>
      </c>
      <c r="C18" s="29" t="s">
        <v>308</v>
      </c>
      <c r="D18" s="30" t="s">
        <v>293</v>
      </c>
      <c r="E18" s="30"/>
      <c r="F18" s="30"/>
      <c r="G18" s="31" t="s">
        <v>309</v>
      </c>
      <c r="H18" s="33" t="s">
        <v>24</v>
      </c>
      <c r="I18" s="29" t="s">
        <v>310</v>
      </c>
      <c r="J18" s="29" t="s">
        <v>311</v>
      </c>
      <c r="K18" s="29" t="s">
        <v>290</v>
      </c>
      <c r="L18" s="29"/>
      <c r="M18" s="29"/>
      <c r="N18" s="29"/>
    </row>
    <row r="19" spans="1:14" ht="14.4" customHeight="1" x14ac:dyDescent="0.3">
      <c r="A19" s="25" t="s">
        <v>312</v>
      </c>
      <c r="B19" s="26" t="s">
        <v>220</v>
      </c>
      <c r="C19" s="26" t="s">
        <v>313</v>
      </c>
      <c r="D19" s="25" t="s">
        <v>314</v>
      </c>
      <c r="E19" s="25"/>
      <c r="F19" s="25"/>
      <c r="G19" s="27" t="s">
        <v>315</v>
      </c>
      <c r="H19" s="34" t="s">
        <v>22</v>
      </c>
      <c r="I19" s="26" t="s">
        <v>316</v>
      </c>
      <c r="J19" s="26" t="s">
        <v>317</v>
      </c>
      <c r="K19" s="26" t="s">
        <v>318</v>
      </c>
      <c r="L19" s="26"/>
      <c r="M19" s="26"/>
      <c r="N19" s="26"/>
    </row>
    <row r="20" spans="1:14" ht="14.4" customHeight="1" x14ac:dyDescent="0.3">
      <c r="A20" s="25" t="s">
        <v>319</v>
      </c>
      <c r="B20" s="29" t="s">
        <v>220</v>
      </c>
      <c r="C20" s="29" t="s">
        <v>320</v>
      </c>
      <c r="D20" s="30" t="s">
        <v>321</v>
      </c>
      <c r="E20" s="30"/>
      <c r="F20" s="30"/>
      <c r="G20" s="31" t="s">
        <v>196</v>
      </c>
      <c r="H20" s="32" t="s">
        <v>21</v>
      </c>
      <c r="I20" s="29" t="s">
        <v>243</v>
      </c>
      <c r="J20" s="29" t="s">
        <v>322</v>
      </c>
      <c r="K20" s="29" t="s">
        <v>323</v>
      </c>
      <c r="L20" s="29"/>
      <c r="M20" s="29"/>
      <c r="N20" s="29"/>
    </row>
    <row r="21" spans="1:14" ht="14.4" customHeight="1" x14ac:dyDescent="0.3">
      <c r="A21" s="25" t="s">
        <v>324</v>
      </c>
      <c r="B21" s="26" t="s">
        <v>220</v>
      </c>
      <c r="C21" s="26" t="s">
        <v>325</v>
      </c>
      <c r="D21" s="25" t="s">
        <v>188</v>
      </c>
      <c r="E21" s="25"/>
      <c r="F21" s="25"/>
      <c r="G21" s="27" t="s">
        <v>326</v>
      </c>
      <c r="H21" s="28" t="s">
        <v>23</v>
      </c>
      <c r="I21" s="26" t="s">
        <v>327</v>
      </c>
      <c r="J21" s="26" t="s">
        <v>328</v>
      </c>
      <c r="K21" s="26" t="s">
        <v>329</v>
      </c>
      <c r="L21" s="26"/>
      <c r="M21" s="26"/>
      <c r="N21" s="26"/>
    </row>
    <row r="22" spans="1:14" ht="14.4" customHeight="1" x14ac:dyDescent="0.3">
      <c r="A22" s="25" t="s">
        <v>330</v>
      </c>
      <c r="B22" s="29" t="s">
        <v>220</v>
      </c>
      <c r="C22" s="29" t="s">
        <v>331</v>
      </c>
      <c r="D22" s="30" t="s">
        <v>255</v>
      </c>
      <c r="E22" s="30"/>
      <c r="F22" s="30"/>
      <c r="G22" s="31" t="s">
        <v>332</v>
      </c>
      <c r="H22" s="35" t="s">
        <v>25</v>
      </c>
      <c r="I22" s="29" t="s">
        <v>243</v>
      </c>
      <c r="J22" s="29" t="s">
        <v>246</v>
      </c>
      <c r="K22" s="29" t="s">
        <v>333</v>
      </c>
      <c r="L22" s="29"/>
      <c r="M22" s="29"/>
      <c r="N22" s="29"/>
    </row>
    <row r="23" spans="1:14" ht="24" customHeight="1" x14ac:dyDescent="0.3">
      <c r="A23" s="25" t="s">
        <v>334</v>
      </c>
      <c r="B23" s="26" t="s">
        <v>220</v>
      </c>
      <c r="C23" s="26" t="s">
        <v>335</v>
      </c>
      <c r="D23" s="25" t="s">
        <v>336</v>
      </c>
      <c r="E23" s="25"/>
      <c r="F23" s="25"/>
      <c r="G23" s="27" t="s">
        <v>337</v>
      </c>
      <c r="H23" s="28" t="s">
        <v>23</v>
      </c>
      <c r="I23" s="26" t="s">
        <v>338</v>
      </c>
      <c r="J23" s="26" t="s">
        <v>339</v>
      </c>
      <c r="K23" s="26" t="s">
        <v>340</v>
      </c>
      <c r="L23" s="26"/>
      <c r="M23" s="26"/>
      <c r="N23" s="26"/>
    </row>
    <row r="24" spans="1:14" ht="24" customHeight="1" x14ac:dyDescent="0.3">
      <c r="A24" s="25" t="s">
        <v>341</v>
      </c>
      <c r="B24" s="29" t="s">
        <v>220</v>
      </c>
      <c r="C24" s="29" t="s">
        <v>342</v>
      </c>
      <c r="D24" s="30" t="s">
        <v>343</v>
      </c>
      <c r="E24" s="30"/>
      <c r="F24" s="30"/>
      <c r="G24" s="31" t="s">
        <v>201</v>
      </c>
      <c r="H24" s="34" t="s">
        <v>22</v>
      </c>
      <c r="I24" s="29" t="s">
        <v>344</v>
      </c>
      <c r="J24" s="29" t="s">
        <v>345</v>
      </c>
      <c r="K24" s="29" t="s">
        <v>346</v>
      </c>
      <c r="L24" s="29"/>
      <c r="M24" s="29"/>
      <c r="N24" s="29"/>
    </row>
    <row r="25" spans="1:14" ht="24" customHeight="1" x14ac:dyDescent="0.3">
      <c r="A25" s="25" t="s">
        <v>347</v>
      </c>
      <c r="B25" s="26" t="s">
        <v>220</v>
      </c>
      <c r="C25" s="26" t="s">
        <v>348</v>
      </c>
      <c r="D25" s="25" t="s">
        <v>349</v>
      </c>
      <c r="E25" s="25"/>
      <c r="F25" s="25"/>
      <c r="G25" s="27" t="s">
        <v>350</v>
      </c>
      <c r="H25" s="34" t="s">
        <v>22</v>
      </c>
      <c r="I25" s="26" t="s">
        <v>351</v>
      </c>
      <c r="J25" s="26" t="s">
        <v>352</v>
      </c>
      <c r="K25" s="26" t="s">
        <v>353</v>
      </c>
      <c r="L25" s="26"/>
      <c r="M25" s="26"/>
      <c r="N25" s="26"/>
    </row>
    <row r="26" spans="1:14" ht="14.4" customHeight="1" x14ac:dyDescent="0.3">
      <c r="A26" s="25" t="s">
        <v>354</v>
      </c>
      <c r="B26" s="29" t="s">
        <v>220</v>
      </c>
      <c r="C26" s="29" t="s">
        <v>355</v>
      </c>
      <c r="D26" s="30" t="s">
        <v>356</v>
      </c>
      <c r="E26" s="30"/>
      <c r="F26" s="30"/>
      <c r="G26" s="31" t="s">
        <v>357</v>
      </c>
      <c r="H26" s="34" t="s">
        <v>22</v>
      </c>
      <c r="I26" s="29" t="s">
        <v>358</v>
      </c>
      <c r="J26" s="29" t="s">
        <v>359</v>
      </c>
      <c r="K26" s="29" t="s">
        <v>360</v>
      </c>
      <c r="L26" s="29"/>
      <c r="M26" s="29"/>
      <c r="N26" s="29"/>
    </row>
    <row r="27" spans="1:14" ht="14.4" customHeight="1" x14ac:dyDescent="0.3">
      <c r="A27" s="25" t="s">
        <v>361</v>
      </c>
      <c r="B27" s="26" t="s">
        <v>220</v>
      </c>
      <c r="C27" s="26" t="s">
        <v>362</v>
      </c>
      <c r="D27" s="25" t="s">
        <v>314</v>
      </c>
      <c r="E27" s="25"/>
      <c r="F27" s="25"/>
      <c r="G27" s="27" t="s">
        <v>363</v>
      </c>
      <c r="H27" s="34" t="s">
        <v>22</v>
      </c>
      <c r="I27" s="26" t="s">
        <v>364</v>
      </c>
      <c r="J27" s="26" t="s">
        <v>358</v>
      </c>
      <c r="K27" s="26" t="s">
        <v>365</v>
      </c>
      <c r="L27" s="26"/>
      <c r="M27" s="26"/>
      <c r="N27" s="26"/>
    </row>
    <row r="28" spans="1:14" ht="14.4" customHeight="1" x14ac:dyDescent="0.3">
      <c r="A28" s="25" t="s">
        <v>366</v>
      </c>
      <c r="B28" s="29" t="s">
        <v>220</v>
      </c>
      <c r="C28" s="29" t="s">
        <v>367</v>
      </c>
      <c r="D28" s="30" t="s">
        <v>281</v>
      </c>
      <c r="E28" s="30"/>
      <c r="F28" s="30"/>
      <c r="G28" s="31" t="s">
        <v>332</v>
      </c>
      <c r="H28" s="35" t="s">
        <v>25</v>
      </c>
      <c r="I28" s="29" t="s">
        <v>243</v>
      </c>
      <c r="J28" s="29" t="s">
        <v>246</v>
      </c>
      <c r="K28" s="29" t="s">
        <v>368</v>
      </c>
      <c r="L28" s="29"/>
      <c r="M28" s="29"/>
      <c r="N28" s="29"/>
    </row>
    <row r="29" spans="1:14" ht="14.4" customHeight="1" x14ac:dyDescent="0.3">
      <c r="A29" s="25" t="s">
        <v>369</v>
      </c>
      <c r="B29" s="26" t="s">
        <v>220</v>
      </c>
      <c r="C29" s="26" t="s">
        <v>370</v>
      </c>
      <c r="D29" s="25" t="s">
        <v>371</v>
      </c>
      <c r="E29" s="25"/>
      <c r="F29" s="25"/>
      <c r="G29" s="27" t="s">
        <v>372</v>
      </c>
      <c r="H29" s="33" t="s">
        <v>24</v>
      </c>
      <c r="I29" s="26" t="s">
        <v>373</v>
      </c>
      <c r="J29" s="26" t="s">
        <v>374</v>
      </c>
      <c r="K29" s="26" t="s">
        <v>375</v>
      </c>
      <c r="L29" s="26"/>
      <c r="M29" s="26"/>
      <c r="N29" s="26"/>
    </row>
    <row r="30" spans="1:14" ht="14.4" customHeight="1" x14ac:dyDescent="0.3">
      <c r="A30" s="25" t="s">
        <v>376</v>
      </c>
      <c r="B30" s="29" t="s">
        <v>220</v>
      </c>
      <c r="C30" s="29" t="s">
        <v>377</v>
      </c>
      <c r="D30" s="30" t="s">
        <v>378</v>
      </c>
      <c r="E30" s="30"/>
      <c r="F30" s="30"/>
      <c r="G30" s="31" t="s">
        <v>332</v>
      </c>
      <c r="H30" s="35" t="s">
        <v>25</v>
      </c>
      <c r="I30" s="29" t="s">
        <v>243</v>
      </c>
      <c r="J30" s="29" t="s">
        <v>246</v>
      </c>
      <c r="K30" s="29" t="s">
        <v>379</v>
      </c>
      <c r="L30" s="29"/>
      <c r="M30" s="29"/>
      <c r="N30" s="29"/>
    </row>
    <row r="31" spans="1:14" ht="14.4" customHeight="1" x14ac:dyDescent="0.3">
      <c r="A31" s="25" t="s">
        <v>380</v>
      </c>
      <c r="B31" s="26" t="s">
        <v>220</v>
      </c>
      <c r="C31" s="26" t="s">
        <v>381</v>
      </c>
      <c r="D31" s="25" t="s">
        <v>276</v>
      </c>
      <c r="E31" s="25"/>
      <c r="F31" s="25"/>
      <c r="G31" s="27" t="s">
        <v>382</v>
      </c>
      <c r="H31" s="33" t="s">
        <v>24</v>
      </c>
      <c r="I31" s="26" t="s">
        <v>383</v>
      </c>
      <c r="J31" s="26" t="s">
        <v>384</v>
      </c>
      <c r="K31" s="26" t="s">
        <v>385</v>
      </c>
      <c r="L31" s="26"/>
      <c r="M31" s="26"/>
      <c r="N31" s="26"/>
    </row>
    <row r="32" spans="1:14" ht="14.4" customHeight="1" x14ac:dyDescent="0.3">
      <c r="A32" s="25" t="s">
        <v>386</v>
      </c>
      <c r="B32" s="29" t="s">
        <v>33</v>
      </c>
      <c r="C32" s="29" t="s">
        <v>387</v>
      </c>
      <c r="D32" s="30" t="s">
        <v>249</v>
      </c>
      <c r="E32" s="30" t="s">
        <v>232</v>
      </c>
      <c r="F32" s="30" t="s">
        <v>388</v>
      </c>
      <c r="G32" s="31" t="s">
        <v>196</v>
      </c>
      <c r="H32" s="32" t="s">
        <v>21</v>
      </c>
      <c r="I32" s="29"/>
      <c r="J32" s="29"/>
      <c r="K32" s="29"/>
      <c r="L32" s="29" t="s">
        <v>389</v>
      </c>
      <c r="M32" s="29"/>
      <c r="N32" s="29"/>
    </row>
    <row r="33" spans="1:14" ht="24" customHeight="1" x14ac:dyDescent="0.3">
      <c r="A33" s="25" t="s">
        <v>390</v>
      </c>
      <c r="B33" s="26" t="s">
        <v>33</v>
      </c>
      <c r="C33" s="26" t="s">
        <v>391</v>
      </c>
      <c r="D33" s="25" t="s">
        <v>392</v>
      </c>
      <c r="E33" s="25" t="s">
        <v>232</v>
      </c>
      <c r="F33" s="25" t="s">
        <v>393</v>
      </c>
      <c r="G33" s="27" t="s">
        <v>196</v>
      </c>
      <c r="H33" s="32" t="s">
        <v>21</v>
      </c>
      <c r="I33" s="26" t="s">
        <v>246</v>
      </c>
      <c r="J33" s="26" t="s">
        <v>246</v>
      </c>
      <c r="K33" s="26" t="s">
        <v>394</v>
      </c>
      <c r="L33" s="26" t="s">
        <v>395</v>
      </c>
      <c r="M33" s="26"/>
      <c r="N33" s="26"/>
    </row>
    <row r="34" spans="1:14" ht="24" customHeight="1" x14ac:dyDescent="0.3">
      <c r="A34" s="25" t="s">
        <v>11</v>
      </c>
      <c r="B34" s="29" t="s">
        <v>33</v>
      </c>
      <c r="C34" s="29" t="s">
        <v>396</v>
      </c>
      <c r="D34" s="30" t="s">
        <v>378</v>
      </c>
      <c r="E34" s="30"/>
      <c r="F34" s="30" t="s">
        <v>232</v>
      </c>
      <c r="G34" s="31" t="s">
        <v>397</v>
      </c>
      <c r="H34" s="28" t="s">
        <v>23</v>
      </c>
      <c r="I34" s="29" t="s">
        <v>398</v>
      </c>
      <c r="J34" s="29" t="s">
        <v>246</v>
      </c>
      <c r="K34" s="29" t="s">
        <v>399</v>
      </c>
      <c r="L34" s="29" t="s">
        <v>400</v>
      </c>
      <c r="M34" s="29" t="s">
        <v>401</v>
      </c>
      <c r="N34" s="29" t="s">
        <v>402</v>
      </c>
    </row>
    <row r="35" spans="1:14" ht="48" customHeight="1" x14ac:dyDescent="0.3">
      <c r="A35" s="25" t="s">
        <v>403</v>
      </c>
      <c r="B35" s="26" t="s">
        <v>33</v>
      </c>
      <c r="C35" s="26" t="s">
        <v>404</v>
      </c>
      <c r="D35" s="25" t="s">
        <v>188</v>
      </c>
      <c r="E35" s="25"/>
      <c r="F35" s="25" t="s">
        <v>378</v>
      </c>
      <c r="G35" s="27" t="s">
        <v>185</v>
      </c>
      <c r="H35" s="28" t="s">
        <v>23</v>
      </c>
      <c r="I35" s="26" t="s">
        <v>246</v>
      </c>
      <c r="J35" s="26" t="s">
        <v>246</v>
      </c>
      <c r="K35" s="26" t="s">
        <v>405</v>
      </c>
      <c r="L35" s="26" t="s">
        <v>406</v>
      </c>
      <c r="M35" s="26" t="s">
        <v>407</v>
      </c>
      <c r="N35" s="26" t="s">
        <v>408</v>
      </c>
    </row>
    <row r="36" spans="1:14" ht="24" customHeight="1" x14ac:dyDescent="0.3">
      <c r="A36" s="25" t="s">
        <v>10</v>
      </c>
      <c r="B36" s="29" t="s">
        <v>62</v>
      </c>
      <c r="C36" s="29" t="s">
        <v>409</v>
      </c>
      <c r="D36" s="30" t="s">
        <v>314</v>
      </c>
      <c r="E36" s="30"/>
      <c r="F36" s="30" t="s">
        <v>410</v>
      </c>
      <c r="G36" s="31" t="s">
        <v>411</v>
      </c>
      <c r="H36" s="34" t="s">
        <v>22</v>
      </c>
      <c r="I36" s="29" t="s">
        <v>412</v>
      </c>
      <c r="J36" s="29" t="s">
        <v>413</v>
      </c>
      <c r="K36" s="29" t="s">
        <v>414</v>
      </c>
      <c r="L36" s="29"/>
      <c r="M36" s="29" t="s">
        <v>415</v>
      </c>
      <c r="N36" s="29" t="s">
        <v>416</v>
      </c>
    </row>
    <row r="37" spans="1:14" ht="14.4" customHeight="1" x14ac:dyDescent="0.3">
      <c r="A37" s="25" t="s">
        <v>417</v>
      </c>
      <c r="B37" s="26" t="s">
        <v>62</v>
      </c>
      <c r="C37" s="26" t="s">
        <v>418</v>
      </c>
      <c r="D37" s="25" t="s">
        <v>419</v>
      </c>
      <c r="E37" s="25" t="s">
        <v>232</v>
      </c>
      <c r="F37" s="25" t="s">
        <v>410</v>
      </c>
      <c r="G37" s="27" t="s">
        <v>420</v>
      </c>
      <c r="H37" s="32" t="s">
        <v>21</v>
      </c>
      <c r="I37" s="26" t="s">
        <v>421</v>
      </c>
      <c r="J37" s="26" t="s">
        <v>422</v>
      </c>
      <c r="K37" s="26" t="s">
        <v>423</v>
      </c>
      <c r="L37" s="26" t="s">
        <v>424</v>
      </c>
      <c r="M37" s="26" t="s">
        <v>425</v>
      </c>
      <c r="N37" s="26"/>
    </row>
    <row r="38" spans="1:14" ht="14.4" customHeight="1" x14ac:dyDescent="0.3">
      <c r="A38" s="25" t="s">
        <v>426</v>
      </c>
      <c r="B38" s="29" t="s">
        <v>62</v>
      </c>
      <c r="C38" s="29" t="s">
        <v>427</v>
      </c>
      <c r="D38" s="30" t="s">
        <v>314</v>
      </c>
      <c r="E38" s="30"/>
      <c r="F38" s="30" t="s">
        <v>428</v>
      </c>
      <c r="G38" s="31" t="s">
        <v>429</v>
      </c>
      <c r="H38" s="34" t="s">
        <v>22</v>
      </c>
      <c r="I38" s="29" t="s">
        <v>430</v>
      </c>
      <c r="J38" s="29" t="s">
        <v>246</v>
      </c>
      <c r="K38" s="29" t="s">
        <v>431</v>
      </c>
      <c r="L38" s="29" t="s">
        <v>432</v>
      </c>
      <c r="M38" s="29" t="s">
        <v>433</v>
      </c>
      <c r="N38" s="29" t="s">
        <v>434</v>
      </c>
    </row>
    <row r="39" spans="1:14" ht="24" customHeight="1" x14ac:dyDescent="0.3">
      <c r="A39" s="25" t="s">
        <v>435</v>
      </c>
      <c r="B39" s="26" t="s">
        <v>62</v>
      </c>
      <c r="C39" s="26" t="s">
        <v>436</v>
      </c>
      <c r="D39" s="25" t="s">
        <v>410</v>
      </c>
      <c r="E39" s="25"/>
      <c r="F39" s="25" t="s">
        <v>437</v>
      </c>
      <c r="G39" s="27" t="s">
        <v>233</v>
      </c>
      <c r="H39" s="28" t="s">
        <v>23</v>
      </c>
      <c r="I39" s="26" t="s">
        <v>438</v>
      </c>
      <c r="J39" s="26"/>
      <c r="K39" s="26" t="s">
        <v>414</v>
      </c>
      <c r="L39" s="26"/>
      <c r="M39" s="26" t="s">
        <v>439</v>
      </c>
      <c r="N39" s="26" t="s">
        <v>434</v>
      </c>
    </row>
    <row r="40" spans="1:14" ht="24" customHeight="1" x14ac:dyDescent="0.3">
      <c r="A40" s="25" t="s">
        <v>440</v>
      </c>
      <c r="B40" s="29" t="s">
        <v>62</v>
      </c>
      <c r="C40" s="29" t="s">
        <v>441</v>
      </c>
      <c r="D40" s="30" t="s">
        <v>378</v>
      </c>
      <c r="E40" s="30"/>
      <c r="F40" s="30" t="s">
        <v>269</v>
      </c>
      <c r="G40" s="31" t="s">
        <v>429</v>
      </c>
      <c r="H40" s="28" t="s">
        <v>23</v>
      </c>
      <c r="I40" s="29" t="s">
        <v>438</v>
      </c>
      <c r="J40" s="29"/>
      <c r="K40" s="29" t="s">
        <v>414</v>
      </c>
      <c r="L40" s="29"/>
      <c r="M40" s="29" t="s">
        <v>442</v>
      </c>
      <c r="N40" s="29" t="s">
        <v>434</v>
      </c>
    </row>
    <row r="41" spans="1:14" ht="14.4" customHeight="1" x14ac:dyDescent="0.3">
      <c r="A41" s="25" t="s">
        <v>443</v>
      </c>
      <c r="B41" s="26" t="s">
        <v>62</v>
      </c>
      <c r="C41" s="26" t="s">
        <v>444</v>
      </c>
      <c r="D41" s="25" t="s">
        <v>445</v>
      </c>
      <c r="E41" s="25"/>
      <c r="F41" s="25" t="s">
        <v>446</v>
      </c>
      <c r="G41" s="27" t="s">
        <v>420</v>
      </c>
      <c r="H41" s="32" t="s">
        <v>21</v>
      </c>
      <c r="I41" s="26" t="s">
        <v>244</v>
      </c>
      <c r="J41" s="26"/>
      <c r="K41" s="26" t="s">
        <v>447</v>
      </c>
      <c r="L41" s="26"/>
      <c r="M41" s="26" t="s">
        <v>232</v>
      </c>
      <c r="N41" s="26" t="s">
        <v>448</v>
      </c>
    </row>
    <row r="42" spans="1:14" ht="14.4" customHeight="1" x14ac:dyDescent="0.3">
      <c r="A42" s="25" t="s">
        <v>449</v>
      </c>
      <c r="B42" s="29" t="s">
        <v>62</v>
      </c>
      <c r="C42" s="29" t="s">
        <v>450</v>
      </c>
      <c r="D42" s="30" t="s">
        <v>336</v>
      </c>
      <c r="E42" s="30"/>
      <c r="F42" s="30" t="s">
        <v>314</v>
      </c>
      <c r="G42" s="31" t="s">
        <v>223</v>
      </c>
      <c r="H42" s="32" t="s">
        <v>21</v>
      </c>
      <c r="I42" s="29" t="s">
        <v>244</v>
      </c>
      <c r="J42" s="29"/>
      <c r="K42" s="29" t="s">
        <v>447</v>
      </c>
      <c r="L42" s="29"/>
      <c r="M42" s="29" t="s">
        <v>451</v>
      </c>
      <c r="N42" s="29" t="s">
        <v>434</v>
      </c>
    </row>
    <row r="43" spans="1:14" ht="14.4" customHeight="1" x14ac:dyDescent="0.3">
      <c r="A43" s="25" t="s">
        <v>452</v>
      </c>
      <c r="B43" s="26" t="s">
        <v>62</v>
      </c>
      <c r="C43" s="26" t="s">
        <v>453</v>
      </c>
      <c r="D43" s="25" t="s">
        <v>445</v>
      </c>
      <c r="E43" s="25"/>
      <c r="F43" s="25" t="s">
        <v>232</v>
      </c>
      <c r="G43" s="27"/>
      <c r="H43" s="32" t="s">
        <v>21</v>
      </c>
      <c r="I43" s="26" t="s">
        <v>244</v>
      </c>
      <c r="J43" s="26"/>
      <c r="K43" s="26" t="s">
        <v>454</v>
      </c>
      <c r="L43" s="26"/>
      <c r="M43" s="26" t="s">
        <v>232</v>
      </c>
      <c r="N43" s="26" t="s">
        <v>448</v>
      </c>
    </row>
    <row r="44" spans="1:14" ht="14.4" customHeight="1" x14ac:dyDescent="0.3">
      <c r="A44" s="25" t="s">
        <v>455</v>
      </c>
      <c r="B44" s="29" t="s">
        <v>62</v>
      </c>
      <c r="C44" s="29" t="s">
        <v>456</v>
      </c>
      <c r="D44" s="30" t="s">
        <v>445</v>
      </c>
      <c r="E44" s="30"/>
      <c r="F44" s="30" t="s">
        <v>232</v>
      </c>
      <c r="G44" s="31"/>
      <c r="H44" s="32" t="s">
        <v>21</v>
      </c>
      <c r="I44" s="29" t="s">
        <v>244</v>
      </c>
      <c r="J44" s="29"/>
      <c r="K44" s="29" t="s">
        <v>454</v>
      </c>
      <c r="L44" s="29"/>
      <c r="M44" s="29" t="s">
        <v>232</v>
      </c>
      <c r="N44" s="29" t="s">
        <v>448</v>
      </c>
    </row>
    <row r="45" spans="1:14" ht="24" customHeight="1" x14ac:dyDescent="0.3">
      <c r="A45" s="25" t="s">
        <v>457</v>
      </c>
      <c r="B45" s="26" t="s">
        <v>62</v>
      </c>
      <c r="C45" s="26" t="s">
        <v>458</v>
      </c>
      <c r="D45" s="25" t="s">
        <v>249</v>
      </c>
      <c r="E45" s="25"/>
      <c r="F45" s="25" t="s">
        <v>378</v>
      </c>
      <c r="G45" s="27" t="s">
        <v>459</v>
      </c>
      <c r="H45" s="34" t="s">
        <v>22</v>
      </c>
      <c r="I45" s="26" t="s">
        <v>460</v>
      </c>
      <c r="J45" s="26"/>
      <c r="K45" s="26" t="s">
        <v>414</v>
      </c>
      <c r="L45" s="26"/>
      <c r="M45" s="26" t="s">
        <v>461</v>
      </c>
      <c r="N45" s="26" t="s">
        <v>460</v>
      </c>
    </row>
    <row r="46" spans="1:14" ht="24" customHeight="1" x14ac:dyDescent="0.3">
      <c r="A46" s="25" t="s">
        <v>462</v>
      </c>
      <c r="B46" s="29" t="s">
        <v>62</v>
      </c>
      <c r="C46" s="29" t="s">
        <v>463</v>
      </c>
      <c r="D46" s="30" t="s">
        <v>378</v>
      </c>
      <c r="E46" s="30"/>
      <c r="F46" s="30" t="s">
        <v>269</v>
      </c>
      <c r="G46" s="31" t="s">
        <v>459</v>
      </c>
      <c r="H46" s="34" t="s">
        <v>22</v>
      </c>
      <c r="I46" s="29" t="s">
        <v>438</v>
      </c>
      <c r="J46" s="29"/>
      <c r="K46" s="29" t="s">
        <v>414</v>
      </c>
      <c r="L46" s="29"/>
      <c r="M46" s="29" t="s">
        <v>464</v>
      </c>
      <c r="N46" s="29"/>
    </row>
    <row r="47" spans="1:14" ht="24" customHeight="1" x14ac:dyDescent="0.3">
      <c r="A47" s="25" t="s">
        <v>465</v>
      </c>
      <c r="B47" s="26" t="s">
        <v>62</v>
      </c>
      <c r="C47" s="26" t="s">
        <v>466</v>
      </c>
      <c r="D47" s="25" t="s">
        <v>356</v>
      </c>
      <c r="E47" s="25"/>
      <c r="F47" s="25" t="s">
        <v>467</v>
      </c>
      <c r="G47" s="27" t="s">
        <v>468</v>
      </c>
      <c r="H47" s="28" t="s">
        <v>23</v>
      </c>
      <c r="I47" s="26" t="s">
        <v>425</v>
      </c>
      <c r="J47" s="26"/>
      <c r="K47" s="26" t="s">
        <v>414</v>
      </c>
      <c r="L47" s="26"/>
      <c r="M47" s="26"/>
      <c r="N47" s="26"/>
    </row>
    <row r="48" spans="1:14" ht="24" customHeight="1" x14ac:dyDescent="0.3">
      <c r="A48" s="25" t="s">
        <v>9</v>
      </c>
      <c r="B48" s="29" t="s">
        <v>62</v>
      </c>
      <c r="C48" s="29" t="s">
        <v>469</v>
      </c>
      <c r="D48" s="30" t="s">
        <v>378</v>
      </c>
      <c r="E48" s="30"/>
      <c r="F48" s="30" t="s">
        <v>232</v>
      </c>
      <c r="G48" s="31" t="s">
        <v>332</v>
      </c>
      <c r="H48" s="35" t="s">
        <v>25</v>
      </c>
      <c r="I48" s="29" t="s">
        <v>425</v>
      </c>
      <c r="J48" s="29"/>
      <c r="K48" s="29" t="s">
        <v>414</v>
      </c>
      <c r="L48" s="29"/>
      <c r="M48" s="29" t="s">
        <v>470</v>
      </c>
      <c r="N48" s="29"/>
    </row>
    <row r="49" spans="1:14" ht="24" customHeight="1" x14ac:dyDescent="0.3">
      <c r="A49" s="25" t="s">
        <v>471</v>
      </c>
      <c r="B49" s="26" t="s">
        <v>29</v>
      </c>
      <c r="C49" s="26" t="s">
        <v>472</v>
      </c>
      <c r="D49" s="25"/>
      <c r="E49" s="25" t="s">
        <v>232</v>
      </c>
      <c r="F49" s="25" t="s">
        <v>473</v>
      </c>
      <c r="G49" s="27" t="s">
        <v>185</v>
      </c>
      <c r="H49" s="34" t="s">
        <v>22</v>
      </c>
      <c r="I49" s="26" t="s">
        <v>474</v>
      </c>
      <c r="J49" s="26"/>
      <c r="K49" s="26" t="s">
        <v>475</v>
      </c>
      <c r="L49" s="26" t="s">
        <v>476</v>
      </c>
      <c r="M49" s="26" t="s">
        <v>477</v>
      </c>
      <c r="N49" s="26" t="s">
        <v>478</v>
      </c>
    </row>
    <row r="50" spans="1:14" ht="14.4" customHeight="1" x14ac:dyDescent="0.3">
      <c r="A50" s="25" t="s">
        <v>479</v>
      </c>
      <c r="B50" s="29" t="s">
        <v>29</v>
      </c>
      <c r="C50" s="29" t="s">
        <v>480</v>
      </c>
      <c r="D50" s="30"/>
      <c r="E50" s="30" t="s">
        <v>232</v>
      </c>
      <c r="F50" s="30" t="s">
        <v>473</v>
      </c>
      <c r="G50" s="31" t="s">
        <v>233</v>
      </c>
      <c r="H50" s="28" t="s">
        <v>23</v>
      </c>
      <c r="I50" s="29" t="s">
        <v>246</v>
      </c>
      <c r="J50" s="29" t="s">
        <v>246</v>
      </c>
      <c r="K50" s="29" t="s">
        <v>481</v>
      </c>
      <c r="L50" s="29" t="s">
        <v>482</v>
      </c>
      <c r="M50" s="29" t="s">
        <v>477</v>
      </c>
      <c r="N50" s="29" t="s">
        <v>483</v>
      </c>
    </row>
    <row r="51" spans="1:14" ht="14.4" customHeight="1" x14ac:dyDescent="0.3">
      <c r="A51" s="25" t="s">
        <v>484</v>
      </c>
      <c r="B51" s="26" t="s">
        <v>29</v>
      </c>
      <c r="C51" s="26" t="s">
        <v>485</v>
      </c>
      <c r="D51" s="25"/>
      <c r="E51" s="25"/>
      <c r="F51" s="25" t="s">
        <v>486</v>
      </c>
      <c r="G51" s="27" t="s">
        <v>233</v>
      </c>
      <c r="H51" s="28" t="s">
        <v>23</v>
      </c>
      <c r="I51" s="26" t="s">
        <v>487</v>
      </c>
      <c r="J51" s="26" t="s">
        <v>246</v>
      </c>
      <c r="K51" s="26" t="s">
        <v>488</v>
      </c>
      <c r="L51" s="26" t="s">
        <v>489</v>
      </c>
      <c r="M51" s="26" t="s">
        <v>490</v>
      </c>
      <c r="N51" s="26" t="s">
        <v>483</v>
      </c>
    </row>
    <row r="52" spans="1:14" ht="14.4" customHeight="1" x14ac:dyDescent="0.3">
      <c r="A52" s="25" t="s">
        <v>491</v>
      </c>
      <c r="B52" s="29" t="s">
        <v>29</v>
      </c>
      <c r="C52" s="29" t="s">
        <v>492</v>
      </c>
      <c r="D52" s="30"/>
      <c r="E52" s="30"/>
      <c r="F52" s="30" t="s">
        <v>232</v>
      </c>
      <c r="G52" s="31" t="s">
        <v>196</v>
      </c>
      <c r="H52" s="32" t="s">
        <v>21</v>
      </c>
      <c r="I52" s="29" t="s">
        <v>246</v>
      </c>
      <c r="J52" s="29" t="s">
        <v>246</v>
      </c>
      <c r="K52" s="29" t="s">
        <v>493</v>
      </c>
      <c r="L52" s="29"/>
      <c r="M52" s="29"/>
      <c r="N52" s="29"/>
    </row>
    <row r="53" spans="1:14" ht="14.4" customHeight="1" x14ac:dyDescent="0.3">
      <c r="A53" s="25" t="s">
        <v>494</v>
      </c>
      <c r="B53" s="26" t="s">
        <v>29</v>
      </c>
      <c r="C53" s="26" t="s">
        <v>495</v>
      </c>
      <c r="D53" s="25"/>
      <c r="E53" s="25"/>
      <c r="F53" s="25"/>
      <c r="G53" s="27" t="s">
        <v>196</v>
      </c>
      <c r="H53" s="32" t="s">
        <v>21</v>
      </c>
      <c r="I53" s="26"/>
      <c r="J53" s="26"/>
      <c r="K53" s="26" t="s">
        <v>493</v>
      </c>
      <c r="L53" s="26"/>
      <c r="M53" s="26"/>
      <c r="N53" s="26"/>
    </row>
    <row r="54" spans="1:14" ht="14.4" customHeight="1" x14ac:dyDescent="0.3">
      <c r="A54" s="25" t="s">
        <v>496</v>
      </c>
      <c r="B54" s="29" t="s">
        <v>29</v>
      </c>
      <c r="C54" s="29" t="s">
        <v>497</v>
      </c>
      <c r="D54" s="30"/>
      <c r="E54" s="30"/>
      <c r="F54" s="30"/>
      <c r="G54" s="31" t="s">
        <v>196</v>
      </c>
      <c r="H54" s="32" t="s">
        <v>21</v>
      </c>
      <c r="I54" s="29"/>
      <c r="J54" s="29"/>
      <c r="K54" s="29" t="s">
        <v>493</v>
      </c>
      <c r="L54" s="29"/>
      <c r="M54" s="29"/>
      <c r="N54" s="29"/>
    </row>
    <row r="55" spans="1:14" ht="14.4" customHeight="1" x14ac:dyDescent="0.3">
      <c r="A55" s="25" t="s">
        <v>498</v>
      </c>
      <c r="B55" s="26" t="s">
        <v>29</v>
      </c>
      <c r="C55" s="26" t="s">
        <v>499</v>
      </c>
      <c r="D55" s="25"/>
      <c r="E55" s="25"/>
      <c r="F55" s="25" t="s">
        <v>500</v>
      </c>
      <c r="G55" s="27" t="s">
        <v>196</v>
      </c>
      <c r="H55" s="32" t="s">
        <v>21</v>
      </c>
      <c r="I55" s="26"/>
      <c r="J55" s="26"/>
      <c r="K55" s="26" t="s">
        <v>493</v>
      </c>
      <c r="L55" s="26"/>
      <c r="M55" s="26"/>
      <c r="N55" s="26"/>
    </row>
    <row r="56" spans="1:14" ht="14.4" customHeight="1" x14ac:dyDescent="0.3">
      <c r="A56" s="25" t="s">
        <v>501</v>
      </c>
      <c r="B56" s="29" t="s">
        <v>29</v>
      </c>
      <c r="C56" s="29" t="s">
        <v>502</v>
      </c>
      <c r="D56" s="30"/>
      <c r="E56" s="30"/>
      <c r="F56" s="30" t="s">
        <v>500</v>
      </c>
      <c r="G56" s="31" t="s">
        <v>196</v>
      </c>
      <c r="H56" s="32" t="s">
        <v>21</v>
      </c>
      <c r="I56" s="29"/>
      <c r="J56" s="29"/>
      <c r="K56" s="29" t="s">
        <v>493</v>
      </c>
      <c r="L56" s="29"/>
      <c r="M56" s="29"/>
      <c r="N56" s="29"/>
    </row>
    <row r="57" spans="1:14" ht="14.4" customHeight="1" x14ac:dyDescent="0.3">
      <c r="A57" s="25" t="s">
        <v>503</v>
      </c>
      <c r="B57" s="26" t="s">
        <v>47</v>
      </c>
      <c r="C57" s="26" t="s">
        <v>504</v>
      </c>
      <c r="D57" s="25"/>
      <c r="E57" s="25" t="s">
        <v>232</v>
      </c>
      <c r="F57" s="25"/>
      <c r="G57" s="27" t="s">
        <v>202</v>
      </c>
      <c r="H57" s="28" t="s">
        <v>23</v>
      </c>
      <c r="I57" s="26" t="s">
        <v>505</v>
      </c>
      <c r="J57" s="26"/>
      <c r="K57" s="26" t="s">
        <v>506</v>
      </c>
      <c r="L57" s="26"/>
      <c r="M57" s="26"/>
      <c r="N57" s="26" t="s">
        <v>507</v>
      </c>
    </row>
    <row r="58" spans="1:14" ht="14.4" customHeight="1" x14ac:dyDescent="0.3">
      <c r="A58" s="25" t="s">
        <v>508</v>
      </c>
      <c r="B58" s="29" t="s">
        <v>47</v>
      </c>
      <c r="C58" s="29" t="s">
        <v>509</v>
      </c>
      <c r="D58" s="30"/>
      <c r="E58" s="30" t="s">
        <v>232</v>
      </c>
      <c r="F58" s="30"/>
      <c r="G58" s="31" t="s">
        <v>196</v>
      </c>
      <c r="H58" s="32" t="s">
        <v>21</v>
      </c>
      <c r="I58" s="29" t="s">
        <v>510</v>
      </c>
      <c r="J58" s="29" t="s">
        <v>246</v>
      </c>
      <c r="K58" s="29"/>
      <c r="L58" s="29"/>
      <c r="M58" s="29"/>
      <c r="N58" s="29" t="s">
        <v>511</v>
      </c>
    </row>
    <row r="59" spans="1:14" ht="14.4" customHeight="1" x14ac:dyDescent="0.3">
      <c r="A59" s="25" t="s">
        <v>512</v>
      </c>
      <c r="B59" s="26" t="s">
        <v>47</v>
      </c>
      <c r="C59" s="26" t="s">
        <v>513</v>
      </c>
      <c r="D59" s="25" t="s">
        <v>232</v>
      </c>
      <c r="E59" s="25"/>
      <c r="F59" s="25" t="s">
        <v>232</v>
      </c>
      <c r="G59" s="27" t="s">
        <v>397</v>
      </c>
      <c r="H59" s="34" t="s">
        <v>22</v>
      </c>
      <c r="I59" s="26" t="s">
        <v>514</v>
      </c>
      <c r="J59" s="26" t="s">
        <v>246</v>
      </c>
      <c r="K59" s="26" t="s">
        <v>399</v>
      </c>
      <c r="L59" s="26" t="s">
        <v>515</v>
      </c>
      <c r="M59" s="26"/>
      <c r="N59" s="26" t="s">
        <v>516</v>
      </c>
    </row>
    <row r="60" spans="1:14" ht="14.4" customHeight="1" x14ac:dyDescent="0.3">
      <c r="A60" s="25" t="s">
        <v>517</v>
      </c>
      <c r="B60" s="29" t="s">
        <v>59</v>
      </c>
      <c r="C60" s="29" t="s">
        <v>518</v>
      </c>
      <c r="D60" s="30"/>
      <c r="E60" s="30" t="s">
        <v>232</v>
      </c>
      <c r="F60" s="30"/>
      <c r="G60" s="31" t="s">
        <v>186</v>
      </c>
      <c r="H60" s="34" t="s">
        <v>22</v>
      </c>
      <c r="I60" s="29" t="s">
        <v>519</v>
      </c>
      <c r="J60" s="29"/>
      <c r="K60" s="29" t="s">
        <v>481</v>
      </c>
      <c r="L60" s="29" t="s">
        <v>482</v>
      </c>
      <c r="M60" s="29"/>
      <c r="N60" s="29" t="s">
        <v>520</v>
      </c>
    </row>
    <row r="61" spans="1:14" ht="14.4" customHeight="1" x14ac:dyDescent="0.3">
      <c r="A61" s="25" t="s">
        <v>521</v>
      </c>
      <c r="B61" s="26" t="s">
        <v>59</v>
      </c>
      <c r="C61" s="26" t="s">
        <v>522</v>
      </c>
      <c r="D61" s="25"/>
      <c r="E61" s="25" t="s">
        <v>232</v>
      </c>
      <c r="F61" s="25"/>
      <c r="G61" s="27" t="s">
        <v>382</v>
      </c>
      <c r="H61" s="34" t="s">
        <v>22</v>
      </c>
      <c r="I61" s="26" t="s">
        <v>246</v>
      </c>
      <c r="J61" s="26" t="s">
        <v>246</v>
      </c>
      <c r="K61" s="26" t="s">
        <v>523</v>
      </c>
      <c r="L61" s="26"/>
      <c r="M61" s="26"/>
      <c r="N61" s="26" t="s">
        <v>524</v>
      </c>
    </row>
    <row r="62" spans="1:14" ht="14.4" customHeight="1" x14ac:dyDescent="0.3">
      <c r="A62" s="25" t="s">
        <v>525</v>
      </c>
      <c r="B62" s="29" t="s">
        <v>59</v>
      </c>
      <c r="C62" s="29" t="s">
        <v>526</v>
      </c>
      <c r="D62" s="30"/>
      <c r="E62" s="30"/>
      <c r="F62" s="30" t="s">
        <v>232</v>
      </c>
      <c r="G62" s="31" t="s">
        <v>186</v>
      </c>
      <c r="H62" s="28" t="s">
        <v>23</v>
      </c>
      <c r="I62" s="29"/>
      <c r="J62" s="29" t="s">
        <v>246</v>
      </c>
      <c r="K62" s="29" t="s">
        <v>527</v>
      </c>
      <c r="L62" s="29"/>
      <c r="M62" s="29"/>
      <c r="N62" s="29"/>
    </row>
    <row r="63" spans="1:14" ht="36" customHeight="1" x14ac:dyDescent="0.3">
      <c r="A63" s="25" t="s">
        <v>528</v>
      </c>
      <c r="B63" s="26" t="s">
        <v>64</v>
      </c>
      <c r="C63" s="26" t="s">
        <v>529</v>
      </c>
      <c r="D63" s="25" t="s">
        <v>192</v>
      </c>
      <c r="E63" s="25" t="s">
        <v>530</v>
      </c>
      <c r="F63" s="25" t="s">
        <v>356</v>
      </c>
      <c r="G63" s="27" t="s">
        <v>411</v>
      </c>
      <c r="H63" s="34" t="s">
        <v>22</v>
      </c>
      <c r="I63" s="26" t="s">
        <v>531</v>
      </c>
      <c r="J63" s="26" t="s">
        <v>532</v>
      </c>
      <c r="K63" s="26" t="s">
        <v>533</v>
      </c>
      <c r="L63" s="26" t="s">
        <v>534</v>
      </c>
      <c r="M63" s="26" t="s">
        <v>535</v>
      </c>
      <c r="N63" s="26" t="s">
        <v>536</v>
      </c>
    </row>
    <row r="64" spans="1:14" ht="14.4" customHeight="1" x14ac:dyDescent="0.3">
      <c r="A64" s="25" t="s">
        <v>537</v>
      </c>
      <c r="B64" s="29" t="s">
        <v>64</v>
      </c>
      <c r="C64" s="29" t="s">
        <v>538</v>
      </c>
      <c r="D64" s="30"/>
      <c r="E64" s="30"/>
      <c r="F64" s="30"/>
      <c r="G64" s="31"/>
      <c r="H64" s="30"/>
      <c r="I64" s="29"/>
      <c r="J64" s="29"/>
      <c r="K64" s="29"/>
      <c r="L64" s="29"/>
      <c r="M64" s="29"/>
      <c r="N64" s="29"/>
    </row>
    <row r="65" spans="1:14" ht="24" customHeight="1" x14ac:dyDescent="0.3">
      <c r="A65" s="25" t="s">
        <v>539</v>
      </c>
      <c r="B65" s="26" t="s">
        <v>64</v>
      </c>
      <c r="C65" s="26" t="s">
        <v>540</v>
      </c>
      <c r="D65" s="25" t="s">
        <v>356</v>
      </c>
      <c r="E65" s="25" t="s">
        <v>232</v>
      </c>
      <c r="F65" s="25" t="s">
        <v>378</v>
      </c>
      <c r="G65" s="27" t="s">
        <v>429</v>
      </c>
      <c r="H65" s="34" t="s">
        <v>22</v>
      </c>
      <c r="I65" s="26" t="s">
        <v>541</v>
      </c>
      <c r="J65" s="26"/>
      <c r="K65" s="26" t="s">
        <v>542</v>
      </c>
      <c r="L65" s="26" t="s">
        <v>543</v>
      </c>
      <c r="M65" s="26" t="s">
        <v>407</v>
      </c>
      <c r="N65" s="26" t="s">
        <v>544</v>
      </c>
    </row>
    <row r="66" spans="1:14" ht="24" customHeight="1" x14ac:dyDescent="0.3">
      <c r="A66" s="25" t="s">
        <v>545</v>
      </c>
      <c r="B66" s="29" t="s">
        <v>64</v>
      </c>
      <c r="C66" s="29" t="s">
        <v>546</v>
      </c>
      <c r="D66" s="30" t="s">
        <v>255</v>
      </c>
      <c r="E66" s="30" t="s">
        <v>547</v>
      </c>
      <c r="F66" s="30" t="s">
        <v>281</v>
      </c>
      <c r="G66" s="31" t="s">
        <v>196</v>
      </c>
      <c r="H66" s="32" t="s">
        <v>21</v>
      </c>
      <c r="I66" s="29" t="s">
        <v>246</v>
      </c>
      <c r="J66" s="29" t="s">
        <v>246</v>
      </c>
      <c r="K66" s="29"/>
      <c r="L66" s="29"/>
      <c r="M66" s="29"/>
      <c r="N66" s="29"/>
    </row>
    <row r="67" spans="1:14" ht="14.4" customHeight="1" x14ac:dyDescent="0.3">
      <c r="A67" s="25" t="s">
        <v>548</v>
      </c>
      <c r="B67" s="26" t="s">
        <v>45</v>
      </c>
      <c r="C67" s="26" t="s">
        <v>549</v>
      </c>
      <c r="D67" s="25" t="s">
        <v>269</v>
      </c>
      <c r="E67" s="25" t="s">
        <v>232</v>
      </c>
      <c r="F67" s="25" t="s">
        <v>487</v>
      </c>
      <c r="G67" s="27" t="s">
        <v>196</v>
      </c>
      <c r="H67" s="32" t="s">
        <v>21</v>
      </c>
      <c r="I67" s="26" t="s">
        <v>547</v>
      </c>
      <c r="J67" s="26" t="s">
        <v>547</v>
      </c>
      <c r="K67" s="26" t="s">
        <v>550</v>
      </c>
      <c r="L67" s="26" t="s">
        <v>547</v>
      </c>
      <c r="M67" s="26" t="s">
        <v>547</v>
      </c>
      <c r="N67" s="26" t="s">
        <v>547</v>
      </c>
    </row>
    <row r="68" spans="1:14" ht="24" customHeight="1" x14ac:dyDescent="0.3">
      <c r="A68" s="25" t="s">
        <v>551</v>
      </c>
      <c r="B68" s="29" t="s">
        <v>45</v>
      </c>
      <c r="C68" s="29" t="s">
        <v>552</v>
      </c>
      <c r="D68" s="30" t="s">
        <v>356</v>
      </c>
      <c r="E68" s="30" t="s">
        <v>232</v>
      </c>
      <c r="F68" s="30" t="s">
        <v>281</v>
      </c>
      <c r="G68" s="31" t="s">
        <v>468</v>
      </c>
      <c r="H68" s="34" t="s">
        <v>22</v>
      </c>
      <c r="I68" s="29" t="s">
        <v>553</v>
      </c>
      <c r="J68" s="29" t="s">
        <v>246</v>
      </c>
      <c r="K68" s="29" t="s">
        <v>554</v>
      </c>
      <c r="L68" s="29" t="s">
        <v>555</v>
      </c>
      <c r="M68" s="29" t="s">
        <v>401</v>
      </c>
      <c r="N68" s="29" t="s">
        <v>556</v>
      </c>
    </row>
    <row r="69" spans="1:14" ht="24" customHeight="1" x14ac:dyDescent="0.3">
      <c r="A69" s="25" t="s">
        <v>557</v>
      </c>
      <c r="B69" s="26" t="s">
        <v>45</v>
      </c>
      <c r="C69" s="26" t="s">
        <v>558</v>
      </c>
      <c r="D69" s="25" t="s">
        <v>388</v>
      </c>
      <c r="E69" s="25" t="s">
        <v>232</v>
      </c>
      <c r="F69" s="25" t="s">
        <v>269</v>
      </c>
      <c r="G69" s="27" t="s">
        <v>559</v>
      </c>
      <c r="H69" s="28" t="s">
        <v>23</v>
      </c>
      <c r="I69" s="26" t="s">
        <v>560</v>
      </c>
      <c r="J69" s="26" t="s">
        <v>246</v>
      </c>
      <c r="K69" s="26" t="s">
        <v>561</v>
      </c>
      <c r="L69" s="26" t="s">
        <v>562</v>
      </c>
      <c r="M69" s="26" t="s">
        <v>547</v>
      </c>
      <c r="N69" s="26" t="s">
        <v>563</v>
      </c>
    </row>
    <row r="70" spans="1:14" ht="24" customHeight="1" x14ac:dyDescent="0.3">
      <c r="A70" s="25" t="s">
        <v>564</v>
      </c>
      <c r="B70" s="29" t="s">
        <v>31</v>
      </c>
      <c r="C70" s="29" t="s">
        <v>565</v>
      </c>
      <c r="D70" s="30" t="s">
        <v>566</v>
      </c>
      <c r="E70" s="30" t="s">
        <v>567</v>
      </c>
      <c r="F70" s="30" t="s">
        <v>193</v>
      </c>
      <c r="G70" s="31" t="s">
        <v>223</v>
      </c>
      <c r="H70" s="34" t="s">
        <v>22</v>
      </c>
      <c r="I70" s="29" t="s">
        <v>568</v>
      </c>
      <c r="J70" s="29" t="s">
        <v>569</v>
      </c>
      <c r="K70" s="29" t="s">
        <v>570</v>
      </c>
      <c r="L70" s="29" t="s">
        <v>571</v>
      </c>
      <c r="M70" s="29"/>
      <c r="N70" s="29" t="s">
        <v>572</v>
      </c>
    </row>
    <row r="71" spans="1:14" ht="14.4" customHeight="1" x14ac:dyDescent="0.3">
      <c r="A71" s="25" t="s">
        <v>573</v>
      </c>
      <c r="B71" s="26" t="s">
        <v>31</v>
      </c>
      <c r="C71" s="26" t="s">
        <v>574</v>
      </c>
      <c r="D71" s="25" t="s">
        <v>575</v>
      </c>
      <c r="E71" s="25" t="s">
        <v>232</v>
      </c>
      <c r="F71" s="25" t="s">
        <v>576</v>
      </c>
      <c r="G71" s="27"/>
      <c r="H71" s="25" t="s">
        <v>577</v>
      </c>
      <c r="I71" s="26"/>
      <c r="J71" s="26"/>
      <c r="K71" s="26"/>
      <c r="L71" s="26"/>
      <c r="M71" s="26"/>
      <c r="N71" s="26"/>
    </row>
    <row r="72" spans="1:14" ht="36" customHeight="1" x14ac:dyDescent="0.3">
      <c r="A72" s="25" t="s">
        <v>578</v>
      </c>
      <c r="B72" s="29" t="s">
        <v>61</v>
      </c>
      <c r="C72" s="29" t="s">
        <v>579</v>
      </c>
      <c r="D72" s="30" t="s">
        <v>580</v>
      </c>
      <c r="E72" s="30"/>
      <c r="F72" s="30" t="s">
        <v>356</v>
      </c>
      <c r="G72" s="31" t="s">
        <v>411</v>
      </c>
      <c r="H72" s="34" t="s">
        <v>22</v>
      </c>
      <c r="I72" s="29" t="s">
        <v>581</v>
      </c>
      <c r="J72" s="29" t="s">
        <v>582</v>
      </c>
      <c r="K72" s="29" t="s">
        <v>583</v>
      </c>
      <c r="L72" s="29" t="s">
        <v>584</v>
      </c>
      <c r="M72" s="29" t="s">
        <v>585</v>
      </c>
      <c r="N72" s="29" t="s">
        <v>586</v>
      </c>
    </row>
    <row r="73" spans="1:14" ht="36" customHeight="1" x14ac:dyDescent="0.3">
      <c r="A73" s="25" t="s">
        <v>587</v>
      </c>
      <c r="B73" s="26" t="s">
        <v>61</v>
      </c>
      <c r="C73" s="26" t="s">
        <v>588</v>
      </c>
      <c r="D73" s="25" t="s">
        <v>222</v>
      </c>
      <c r="E73" s="25"/>
      <c r="F73" s="25" t="s">
        <v>232</v>
      </c>
      <c r="G73" s="27" t="s">
        <v>186</v>
      </c>
      <c r="H73" s="34" t="s">
        <v>22</v>
      </c>
      <c r="I73" s="26" t="s">
        <v>589</v>
      </c>
      <c r="J73" s="26" t="s">
        <v>590</v>
      </c>
      <c r="K73" s="26" t="s">
        <v>591</v>
      </c>
      <c r="L73" s="26" t="s">
        <v>385</v>
      </c>
      <c r="M73" s="26" t="s">
        <v>407</v>
      </c>
      <c r="N73" s="26" t="s">
        <v>592</v>
      </c>
    </row>
    <row r="74" spans="1:14" ht="14.4" customHeight="1" x14ac:dyDescent="0.3">
      <c r="A74" s="25" t="s">
        <v>593</v>
      </c>
      <c r="B74" s="29" t="s">
        <v>57</v>
      </c>
      <c r="C74" s="29" t="s">
        <v>594</v>
      </c>
      <c r="D74" s="30" t="s">
        <v>249</v>
      </c>
      <c r="E74" s="30"/>
      <c r="F74" s="30"/>
      <c r="G74" s="31" t="s">
        <v>223</v>
      </c>
      <c r="H74" s="34" t="s">
        <v>22</v>
      </c>
      <c r="I74" s="29" t="s">
        <v>595</v>
      </c>
      <c r="J74" s="29" t="s">
        <v>596</v>
      </c>
      <c r="K74" s="29" t="s">
        <v>597</v>
      </c>
      <c r="L74" s="29" t="s">
        <v>598</v>
      </c>
      <c r="M74" s="29" t="s">
        <v>246</v>
      </c>
      <c r="N74" s="29" t="s">
        <v>599</v>
      </c>
    </row>
    <row r="75" spans="1:14" ht="14.4" customHeight="1" x14ac:dyDescent="0.3">
      <c r="A75" s="25" t="s">
        <v>600</v>
      </c>
      <c r="B75" s="26" t="s">
        <v>57</v>
      </c>
      <c r="C75" s="26" t="s">
        <v>601</v>
      </c>
      <c r="D75" s="25" t="s">
        <v>388</v>
      </c>
      <c r="E75" s="25" t="s">
        <v>232</v>
      </c>
      <c r="F75" s="25" t="s">
        <v>269</v>
      </c>
      <c r="G75" s="27" t="s">
        <v>196</v>
      </c>
      <c r="H75" s="32" t="s">
        <v>21</v>
      </c>
      <c r="I75" s="26"/>
      <c r="J75" s="26"/>
      <c r="K75" s="26" t="s">
        <v>602</v>
      </c>
      <c r="L75" s="26"/>
      <c r="M75" s="26"/>
      <c r="N75" s="26"/>
    </row>
    <row r="76" spans="1:14" ht="14.4" customHeight="1" x14ac:dyDescent="0.3">
      <c r="A76" s="25" t="s">
        <v>603</v>
      </c>
      <c r="B76" s="29" t="s">
        <v>57</v>
      </c>
      <c r="C76" s="29" t="s">
        <v>604</v>
      </c>
      <c r="D76" s="30" t="s">
        <v>605</v>
      </c>
      <c r="E76" s="30"/>
      <c r="F76" s="30" t="s">
        <v>606</v>
      </c>
      <c r="G76" s="31" t="s">
        <v>233</v>
      </c>
      <c r="H76" s="34" t="s">
        <v>22</v>
      </c>
      <c r="I76" s="29" t="s">
        <v>607</v>
      </c>
      <c r="J76" s="29" t="s">
        <v>608</v>
      </c>
      <c r="K76" s="29" t="s">
        <v>609</v>
      </c>
      <c r="L76" s="29"/>
      <c r="M76" s="29"/>
      <c r="N76" s="29"/>
    </row>
    <row r="77" spans="1:14" ht="14.4" customHeight="1" x14ac:dyDescent="0.3">
      <c r="A77" s="25" t="s">
        <v>610</v>
      </c>
      <c r="B77" s="26" t="s">
        <v>57</v>
      </c>
      <c r="C77" s="26" t="s">
        <v>611</v>
      </c>
      <c r="D77" s="25" t="s">
        <v>612</v>
      </c>
      <c r="E77" s="25"/>
      <c r="F77" s="25" t="s">
        <v>410</v>
      </c>
      <c r="G77" s="27" t="s">
        <v>196</v>
      </c>
      <c r="H77" s="32" t="s">
        <v>21</v>
      </c>
      <c r="I77" s="26"/>
      <c r="J77" s="26" t="s">
        <v>613</v>
      </c>
      <c r="K77" s="26" t="s">
        <v>602</v>
      </c>
      <c r="L77" s="26"/>
      <c r="M77" s="26"/>
      <c r="N77" s="26" t="s">
        <v>614</v>
      </c>
    </row>
    <row r="78" spans="1:14" ht="14.4" customHeight="1" x14ac:dyDescent="0.3">
      <c r="A78" s="25" t="s">
        <v>615</v>
      </c>
      <c r="B78" s="29" t="s">
        <v>57</v>
      </c>
      <c r="C78" s="29" t="s">
        <v>616</v>
      </c>
      <c r="D78" s="30" t="s">
        <v>617</v>
      </c>
      <c r="E78" s="30"/>
      <c r="F78" s="30" t="s">
        <v>276</v>
      </c>
      <c r="G78" s="31" t="s">
        <v>233</v>
      </c>
      <c r="H78" s="34" t="s">
        <v>22</v>
      </c>
      <c r="I78" s="29" t="s">
        <v>618</v>
      </c>
      <c r="J78" s="29" t="s">
        <v>619</v>
      </c>
      <c r="K78" s="29" t="s">
        <v>602</v>
      </c>
      <c r="L78" s="29"/>
      <c r="M78" s="29"/>
      <c r="N78" s="29"/>
    </row>
    <row r="79" spans="1:14" ht="24" customHeight="1" x14ac:dyDescent="0.3">
      <c r="A79" s="25" t="s">
        <v>620</v>
      </c>
      <c r="B79" s="26" t="s">
        <v>57</v>
      </c>
      <c r="C79" s="26" t="s">
        <v>621</v>
      </c>
      <c r="D79" s="25" t="s">
        <v>285</v>
      </c>
      <c r="E79" s="25"/>
      <c r="F79" s="25" t="s">
        <v>530</v>
      </c>
      <c r="G79" s="27" t="s">
        <v>196</v>
      </c>
      <c r="H79" s="32" t="s">
        <v>21</v>
      </c>
      <c r="I79" s="26"/>
      <c r="J79" s="26" t="s">
        <v>622</v>
      </c>
      <c r="K79" s="26" t="s">
        <v>609</v>
      </c>
      <c r="L79" s="26"/>
      <c r="M79" s="26"/>
      <c r="N79" s="26"/>
    </row>
    <row r="80" spans="1:14" ht="14.4" customHeight="1" x14ac:dyDescent="0.3">
      <c r="A80" s="25" t="s">
        <v>623</v>
      </c>
      <c r="B80" s="29" t="s">
        <v>57</v>
      </c>
      <c r="C80" s="29" t="s">
        <v>624</v>
      </c>
      <c r="D80" s="30" t="s">
        <v>410</v>
      </c>
      <c r="E80" s="30"/>
      <c r="F80" s="30"/>
      <c r="G80" s="31" t="s">
        <v>196</v>
      </c>
      <c r="H80" s="32" t="s">
        <v>21</v>
      </c>
      <c r="I80" s="29"/>
      <c r="J80" s="29"/>
      <c r="K80" s="29" t="s">
        <v>609</v>
      </c>
      <c r="L80" s="29"/>
      <c r="M80" s="29"/>
      <c r="N80" s="29"/>
    </row>
    <row r="81" spans="1:14" ht="14.4" customHeight="1" x14ac:dyDescent="0.3">
      <c r="A81" s="25" t="s">
        <v>625</v>
      </c>
      <c r="B81" s="26" t="s">
        <v>57</v>
      </c>
      <c r="C81" s="26" t="s">
        <v>626</v>
      </c>
      <c r="D81" s="25" t="s">
        <v>612</v>
      </c>
      <c r="E81" s="25"/>
      <c r="F81" s="25" t="s">
        <v>410</v>
      </c>
      <c r="G81" s="27" t="s">
        <v>196</v>
      </c>
      <c r="H81" s="32" t="s">
        <v>21</v>
      </c>
      <c r="I81" s="26"/>
      <c r="J81" s="26"/>
      <c r="K81" s="26" t="s">
        <v>602</v>
      </c>
      <c r="L81" s="26"/>
      <c r="M81" s="26"/>
      <c r="N81" s="26"/>
    </row>
    <row r="82" spans="1:14" ht="14.4" customHeight="1" x14ac:dyDescent="0.3">
      <c r="A82" s="25" t="s">
        <v>627</v>
      </c>
      <c r="B82" s="29" t="s">
        <v>57</v>
      </c>
      <c r="C82" s="29" t="s">
        <v>628</v>
      </c>
      <c r="D82" s="30" t="s">
        <v>336</v>
      </c>
      <c r="E82" s="30"/>
      <c r="F82" s="30" t="s">
        <v>410</v>
      </c>
      <c r="G82" s="31" t="s">
        <v>196</v>
      </c>
      <c r="H82" s="32" t="s">
        <v>21</v>
      </c>
      <c r="I82" s="29"/>
      <c r="J82" s="29"/>
      <c r="K82" s="29" t="s">
        <v>602</v>
      </c>
      <c r="L82" s="29"/>
      <c r="M82" s="29"/>
      <c r="N82" s="29"/>
    </row>
    <row r="83" spans="1:14" ht="14.4" customHeight="1" x14ac:dyDescent="0.3">
      <c r="A83" s="25" t="s">
        <v>629</v>
      </c>
      <c r="B83" s="26" t="s">
        <v>57</v>
      </c>
      <c r="C83" s="26" t="s">
        <v>630</v>
      </c>
      <c r="D83" s="25" t="s">
        <v>293</v>
      </c>
      <c r="E83" s="25"/>
      <c r="F83" s="25"/>
      <c r="G83" s="27" t="s">
        <v>223</v>
      </c>
      <c r="H83" s="28" t="s">
        <v>23</v>
      </c>
      <c r="I83" s="26"/>
      <c r="J83" s="26" t="s">
        <v>631</v>
      </c>
      <c r="K83" s="26" t="s">
        <v>602</v>
      </c>
      <c r="L83" s="26"/>
      <c r="M83" s="26"/>
      <c r="N83" s="26"/>
    </row>
    <row r="84" spans="1:14" ht="24" customHeight="1" x14ac:dyDescent="0.3">
      <c r="A84" s="25" t="s">
        <v>632</v>
      </c>
      <c r="B84" s="29" t="s">
        <v>57</v>
      </c>
      <c r="C84" s="29" t="s">
        <v>633</v>
      </c>
      <c r="D84" s="30" t="s">
        <v>634</v>
      </c>
      <c r="E84" s="30"/>
      <c r="F84" s="30"/>
      <c r="G84" s="31" t="s">
        <v>635</v>
      </c>
      <c r="H84" s="28" t="s">
        <v>23</v>
      </c>
      <c r="I84" s="29"/>
      <c r="J84" s="29" t="s">
        <v>636</v>
      </c>
      <c r="K84" s="29" t="s">
        <v>602</v>
      </c>
      <c r="L84" s="29"/>
      <c r="M84" s="29"/>
      <c r="N84" s="29"/>
    </row>
    <row r="85" spans="1:14" ht="14.4" customHeight="1" x14ac:dyDescent="0.3">
      <c r="A85" s="25" t="s">
        <v>637</v>
      </c>
      <c r="B85" s="26" t="s">
        <v>57</v>
      </c>
      <c r="C85" s="26" t="s">
        <v>638</v>
      </c>
      <c r="D85" s="25" t="s">
        <v>388</v>
      </c>
      <c r="E85" s="25"/>
      <c r="F85" s="25" t="s">
        <v>639</v>
      </c>
      <c r="G85" s="27" t="s">
        <v>332</v>
      </c>
      <c r="H85" s="35" t="s">
        <v>25</v>
      </c>
      <c r="I85" s="26"/>
      <c r="J85" s="26"/>
      <c r="K85" s="26" t="s">
        <v>602</v>
      </c>
      <c r="L85" s="26"/>
      <c r="M85" s="26"/>
      <c r="N85" s="26"/>
    </row>
    <row r="86" spans="1:14" ht="14.4" customHeight="1" x14ac:dyDescent="0.3">
      <c r="A86" s="25" t="s">
        <v>640</v>
      </c>
      <c r="B86" s="29" t="s">
        <v>41</v>
      </c>
      <c r="C86" s="29" t="s">
        <v>641</v>
      </c>
      <c r="D86" s="30" t="s">
        <v>642</v>
      </c>
      <c r="E86" s="30" t="s">
        <v>232</v>
      </c>
      <c r="F86" s="30" t="s">
        <v>249</v>
      </c>
      <c r="G86" s="31" t="s">
        <v>196</v>
      </c>
      <c r="H86" s="32" t="s">
        <v>21</v>
      </c>
      <c r="I86" s="29"/>
      <c r="J86" s="29"/>
      <c r="K86" s="29"/>
      <c r="L86" s="29"/>
      <c r="M86" s="29"/>
      <c r="N86" s="29"/>
    </row>
    <row r="87" spans="1:14" ht="14.4" customHeight="1" x14ac:dyDescent="0.3">
      <c r="A87" s="25" t="s">
        <v>643</v>
      </c>
      <c r="B87" s="26" t="s">
        <v>41</v>
      </c>
      <c r="C87" s="26" t="s">
        <v>644</v>
      </c>
      <c r="D87" s="25" t="s">
        <v>356</v>
      </c>
      <c r="E87" s="25" t="s">
        <v>232</v>
      </c>
      <c r="F87" s="25" t="s">
        <v>193</v>
      </c>
      <c r="G87" s="27" t="s">
        <v>196</v>
      </c>
      <c r="H87" s="32" t="s">
        <v>21</v>
      </c>
      <c r="I87" s="26"/>
      <c r="J87" s="26"/>
      <c r="K87" s="26"/>
      <c r="L87" s="26"/>
      <c r="M87" s="26"/>
      <c r="N87" s="26"/>
    </row>
    <row r="88" spans="1:14" ht="14.4" customHeight="1" x14ac:dyDescent="0.3">
      <c r="A88" s="25" t="s">
        <v>645</v>
      </c>
      <c r="B88" s="29" t="s">
        <v>41</v>
      </c>
      <c r="C88" s="29" t="s">
        <v>646</v>
      </c>
      <c r="D88" s="30" t="s">
        <v>378</v>
      </c>
      <c r="E88" s="30"/>
      <c r="F88" s="30" t="s">
        <v>281</v>
      </c>
      <c r="G88" s="31" t="s">
        <v>233</v>
      </c>
      <c r="H88" s="34" t="s">
        <v>22</v>
      </c>
      <c r="I88" s="29" t="s">
        <v>647</v>
      </c>
      <c r="J88" s="29" t="s">
        <v>648</v>
      </c>
      <c r="K88" s="29" t="s">
        <v>649</v>
      </c>
      <c r="L88" s="29"/>
      <c r="M88" s="29" t="s">
        <v>650</v>
      </c>
      <c r="N88" s="29" t="s">
        <v>651</v>
      </c>
    </row>
    <row r="89" spans="1:14" ht="24" customHeight="1" x14ac:dyDescent="0.3">
      <c r="A89" s="25" t="s">
        <v>652</v>
      </c>
      <c r="B89" s="26" t="s">
        <v>41</v>
      </c>
      <c r="C89" s="26" t="s">
        <v>653</v>
      </c>
      <c r="D89" s="25" t="s">
        <v>654</v>
      </c>
      <c r="E89" s="25"/>
      <c r="F89" s="25" t="s">
        <v>281</v>
      </c>
      <c r="G89" s="27" t="s">
        <v>655</v>
      </c>
      <c r="H89" s="28" t="s">
        <v>23</v>
      </c>
      <c r="I89" s="26"/>
      <c r="J89" s="26"/>
      <c r="K89" s="26" t="s">
        <v>656</v>
      </c>
      <c r="L89" s="26"/>
      <c r="M89" s="26" t="s">
        <v>490</v>
      </c>
      <c r="N89" s="26"/>
    </row>
    <row r="90" spans="1:14" ht="14.4" customHeight="1" x14ac:dyDescent="0.3">
      <c r="A90" s="25" t="s">
        <v>657</v>
      </c>
      <c r="B90" s="29" t="s">
        <v>41</v>
      </c>
      <c r="C90" s="29" t="s">
        <v>658</v>
      </c>
      <c r="D90" s="30" t="s">
        <v>285</v>
      </c>
      <c r="E90" s="30"/>
      <c r="F90" s="30" t="s">
        <v>232</v>
      </c>
      <c r="G90" s="31" t="s">
        <v>185</v>
      </c>
      <c r="H90" s="28" t="s">
        <v>23</v>
      </c>
      <c r="I90" s="29"/>
      <c r="J90" s="29"/>
      <c r="K90" s="29" t="s">
        <v>659</v>
      </c>
      <c r="L90" s="29"/>
      <c r="M90" s="29" t="s">
        <v>660</v>
      </c>
      <c r="N90" s="29" t="s">
        <v>661</v>
      </c>
    </row>
    <row r="91" spans="1:14" ht="14.4" customHeight="1" x14ac:dyDescent="0.3">
      <c r="A91" s="25" t="s">
        <v>662</v>
      </c>
      <c r="B91" s="26" t="s">
        <v>41</v>
      </c>
      <c r="C91" s="26" t="s">
        <v>663</v>
      </c>
      <c r="D91" s="25" t="s">
        <v>664</v>
      </c>
      <c r="E91" s="25"/>
      <c r="F91" s="25" t="s">
        <v>232</v>
      </c>
      <c r="G91" s="27" t="s">
        <v>337</v>
      </c>
      <c r="H91" s="28" t="s">
        <v>23</v>
      </c>
      <c r="I91" s="26"/>
      <c r="J91" s="26"/>
      <c r="K91" s="26" t="s">
        <v>665</v>
      </c>
      <c r="L91" s="26"/>
      <c r="M91" s="26" t="s">
        <v>666</v>
      </c>
      <c r="N91" s="26" t="s">
        <v>667</v>
      </c>
    </row>
    <row r="92" spans="1:14" ht="24" customHeight="1" x14ac:dyDescent="0.3">
      <c r="A92" s="25" t="s">
        <v>668</v>
      </c>
      <c r="B92" s="29" t="s">
        <v>669</v>
      </c>
      <c r="C92" s="29" t="s">
        <v>670</v>
      </c>
      <c r="D92" s="30" t="s">
        <v>671</v>
      </c>
      <c r="E92" s="30" t="s">
        <v>232</v>
      </c>
      <c r="F92" s="30" t="s">
        <v>249</v>
      </c>
      <c r="G92" s="31" t="s">
        <v>468</v>
      </c>
      <c r="H92" s="34" t="s">
        <v>22</v>
      </c>
      <c r="I92" s="29" t="s">
        <v>672</v>
      </c>
      <c r="J92" s="29" t="s">
        <v>246</v>
      </c>
      <c r="K92" s="29" t="s">
        <v>673</v>
      </c>
      <c r="L92" s="29" t="s">
        <v>674</v>
      </c>
      <c r="M92" s="29" t="s">
        <v>675</v>
      </c>
      <c r="N92" s="29" t="s">
        <v>676</v>
      </c>
    </row>
    <row r="93" spans="1:14" ht="24" customHeight="1" x14ac:dyDescent="0.3">
      <c r="A93" s="25" t="s">
        <v>677</v>
      </c>
      <c r="B93" s="26" t="s">
        <v>669</v>
      </c>
      <c r="C93" s="26" t="s">
        <v>678</v>
      </c>
      <c r="D93" s="25"/>
      <c r="E93" s="25" t="s">
        <v>232</v>
      </c>
      <c r="F93" s="25"/>
      <c r="G93" s="27" t="s">
        <v>185</v>
      </c>
      <c r="H93" s="33" t="s">
        <v>24</v>
      </c>
      <c r="I93" s="26" t="s">
        <v>246</v>
      </c>
      <c r="J93" s="26" t="s">
        <v>246</v>
      </c>
      <c r="K93" s="26" t="s">
        <v>679</v>
      </c>
      <c r="L93" s="26"/>
      <c r="M93" s="26" t="s">
        <v>680</v>
      </c>
      <c r="N93" s="26" t="s">
        <v>681</v>
      </c>
    </row>
    <row r="94" spans="1:14" ht="24" customHeight="1" x14ac:dyDescent="0.3">
      <c r="A94" s="25" t="s">
        <v>682</v>
      </c>
      <c r="B94" s="29" t="s">
        <v>669</v>
      </c>
      <c r="C94" s="29" t="s">
        <v>683</v>
      </c>
      <c r="D94" s="30"/>
      <c r="E94" s="30"/>
      <c r="F94" s="30"/>
      <c r="G94" s="31" t="s">
        <v>684</v>
      </c>
      <c r="H94" s="33" t="s">
        <v>24</v>
      </c>
      <c r="I94" s="29" t="s">
        <v>246</v>
      </c>
      <c r="J94" s="29" t="s">
        <v>246</v>
      </c>
      <c r="K94" s="29" t="s">
        <v>399</v>
      </c>
      <c r="L94" s="29"/>
      <c r="M94" s="29" t="s">
        <v>685</v>
      </c>
      <c r="N94" s="29" t="s">
        <v>686</v>
      </c>
    </row>
    <row r="95" spans="1:14" ht="24" customHeight="1" x14ac:dyDescent="0.3">
      <c r="A95" s="25" t="s">
        <v>687</v>
      </c>
      <c r="B95" s="26" t="s">
        <v>27</v>
      </c>
      <c r="C95" s="26" t="s">
        <v>688</v>
      </c>
      <c r="D95" s="25" t="s">
        <v>689</v>
      </c>
      <c r="E95" s="25" t="s">
        <v>547</v>
      </c>
      <c r="F95" s="25" t="s">
        <v>689</v>
      </c>
      <c r="G95" s="27" t="s">
        <v>196</v>
      </c>
      <c r="H95" s="32" t="s">
        <v>21</v>
      </c>
      <c r="I95" s="26" t="s">
        <v>547</v>
      </c>
      <c r="J95" s="26" t="s">
        <v>547</v>
      </c>
      <c r="K95" s="26" t="s">
        <v>547</v>
      </c>
      <c r="L95" s="26"/>
      <c r="M95" s="26"/>
      <c r="N95" s="26"/>
    </row>
    <row r="96" spans="1:14" ht="36" customHeight="1" x14ac:dyDescent="0.3">
      <c r="A96" s="25" t="s">
        <v>690</v>
      </c>
      <c r="B96" s="29" t="s">
        <v>27</v>
      </c>
      <c r="C96" s="29" t="s">
        <v>691</v>
      </c>
      <c r="D96" s="30" t="s">
        <v>692</v>
      </c>
      <c r="E96" s="30" t="s">
        <v>232</v>
      </c>
      <c r="F96" s="30"/>
      <c r="G96" s="31" t="s">
        <v>429</v>
      </c>
      <c r="H96" s="32" t="s">
        <v>21</v>
      </c>
      <c r="I96" s="29" t="s">
        <v>547</v>
      </c>
      <c r="J96" s="29" t="s">
        <v>246</v>
      </c>
      <c r="K96" s="29" t="s">
        <v>246</v>
      </c>
      <c r="L96" s="29"/>
      <c r="M96" s="29"/>
      <c r="N96" s="29"/>
    </row>
    <row r="97" spans="1:14" ht="24" customHeight="1" x14ac:dyDescent="0.3">
      <c r="A97" s="25" t="s">
        <v>693</v>
      </c>
      <c r="B97" s="26" t="s">
        <v>27</v>
      </c>
      <c r="C97" s="26" t="s">
        <v>694</v>
      </c>
      <c r="D97" s="25" t="s">
        <v>695</v>
      </c>
      <c r="E97" s="25" t="s">
        <v>547</v>
      </c>
      <c r="F97" s="25"/>
      <c r="G97" s="27" t="s">
        <v>196</v>
      </c>
      <c r="H97" s="32" t="s">
        <v>21</v>
      </c>
      <c r="I97" s="26" t="s">
        <v>547</v>
      </c>
      <c r="J97" s="26" t="s">
        <v>246</v>
      </c>
      <c r="K97" s="26" t="s">
        <v>246</v>
      </c>
      <c r="L97" s="26"/>
      <c r="M97" s="26"/>
      <c r="N97" s="26"/>
    </row>
    <row r="98" spans="1:14" ht="14.4" customHeight="1" x14ac:dyDescent="0.3">
      <c r="A98" s="25" t="s">
        <v>696</v>
      </c>
      <c r="B98" s="29" t="s">
        <v>27</v>
      </c>
      <c r="C98" s="29" t="s">
        <v>697</v>
      </c>
      <c r="D98" s="30" t="s">
        <v>255</v>
      </c>
      <c r="E98" s="30" t="s">
        <v>547</v>
      </c>
      <c r="F98" s="30" t="s">
        <v>255</v>
      </c>
      <c r="G98" s="31" t="s">
        <v>196</v>
      </c>
      <c r="H98" s="32" t="s">
        <v>21</v>
      </c>
      <c r="I98" s="29" t="s">
        <v>547</v>
      </c>
      <c r="J98" s="29" t="s">
        <v>246</v>
      </c>
      <c r="K98" s="29" t="s">
        <v>246</v>
      </c>
      <c r="L98" s="29"/>
      <c r="M98" s="29"/>
      <c r="N98" s="29"/>
    </row>
    <row r="99" spans="1:14" ht="14.4" customHeight="1" x14ac:dyDescent="0.3">
      <c r="A99" s="25" t="s">
        <v>698</v>
      </c>
      <c r="B99" s="26" t="s">
        <v>27</v>
      </c>
      <c r="C99" s="26" t="s">
        <v>699</v>
      </c>
      <c r="D99" s="25" t="s">
        <v>700</v>
      </c>
      <c r="E99" s="25" t="s">
        <v>547</v>
      </c>
      <c r="F99" s="25" t="s">
        <v>425</v>
      </c>
      <c r="G99" s="27" t="s">
        <v>382</v>
      </c>
      <c r="H99" s="28" t="s">
        <v>23</v>
      </c>
      <c r="I99" s="26" t="s">
        <v>547</v>
      </c>
      <c r="J99" s="26" t="s">
        <v>547</v>
      </c>
      <c r="K99" s="26" t="s">
        <v>487</v>
      </c>
      <c r="L99" s="26"/>
      <c r="M99" s="26"/>
      <c r="N99" s="26"/>
    </row>
    <row r="100" spans="1:14" ht="14.4" customHeight="1" x14ac:dyDescent="0.3">
      <c r="A100" s="25" t="s">
        <v>701</v>
      </c>
      <c r="B100" s="29" t="s">
        <v>702</v>
      </c>
      <c r="C100" s="29" t="s">
        <v>703</v>
      </c>
      <c r="D100" s="30"/>
      <c r="E100" s="30" t="s">
        <v>232</v>
      </c>
      <c r="F100" s="30"/>
      <c r="G100" s="31" t="s">
        <v>185</v>
      </c>
      <c r="H100" s="34" t="s">
        <v>22</v>
      </c>
      <c r="I100" s="29" t="s">
        <v>704</v>
      </c>
      <c r="J100" s="29" t="s">
        <v>705</v>
      </c>
      <c r="K100" s="29" t="s">
        <v>706</v>
      </c>
      <c r="L100" s="29" t="s">
        <v>707</v>
      </c>
      <c r="M100" s="29"/>
      <c r="N100" s="29" t="s">
        <v>708</v>
      </c>
    </row>
    <row r="101" spans="1:14" ht="14.4" customHeight="1" x14ac:dyDescent="0.3">
      <c r="A101" s="25" t="s">
        <v>709</v>
      </c>
      <c r="B101" s="26" t="s">
        <v>55</v>
      </c>
      <c r="C101" s="26" t="s">
        <v>710</v>
      </c>
      <c r="D101" s="25"/>
      <c r="E101" s="25"/>
      <c r="F101" s="25"/>
      <c r="G101" s="27" t="s">
        <v>411</v>
      </c>
      <c r="H101" s="34" t="s">
        <v>22</v>
      </c>
      <c r="I101" s="26" t="s">
        <v>711</v>
      </c>
      <c r="J101" s="26" t="s">
        <v>712</v>
      </c>
      <c r="K101" s="26" t="s">
        <v>713</v>
      </c>
      <c r="L101" s="26" t="s">
        <v>714</v>
      </c>
      <c r="M101" s="26" t="s">
        <v>715</v>
      </c>
      <c r="N101" s="26" t="s">
        <v>716</v>
      </c>
    </row>
    <row r="102" spans="1:14" ht="14.4" customHeight="1" x14ac:dyDescent="0.3">
      <c r="A102" s="25" t="s">
        <v>717</v>
      </c>
      <c r="B102" s="29" t="s">
        <v>51</v>
      </c>
      <c r="C102" s="29" t="s">
        <v>718</v>
      </c>
      <c r="D102" s="30"/>
      <c r="E102" s="30"/>
      <c r="F102" s="30"/>
      <c r="G102" s="31" t="s">
        <v>719</v>
      </c>
      <c r="H102" s="34" t="s">
        <v>22</v>
      </c>
      <c r="I102" s="29" t="s">
        <v>720</v>
      </c>
      <c r="J102" s="29" t="s">
        <v>721</v>
      </c>
      <c r="K102" s="29" t="s">
        <v>713</v>
      </c>
      <c r="L102" s="29" t="s">
        <v>722</v>
      </c>
      <c r="M102" s="29" t="s">
        <v>723</v>
      </c>
      <c r="N102" s="29" t="s">
        <v>724</v>
      </c>
    </row>
    <row r="103" spans="1:14" ht="14.4" customHeight="1" x14ac:dyDescent="0.3">
      <c r="A103" s="25" t="s">
        <v>725</v>
      </c>
      <c r="B103" s="26" t="s">
        <v>51</v>
      </c>
      <c r="C103" s="26" t="s">
        <v>726</v>
      </c>
      <c r="D103" s="25"/>
      <c r="E103" s="25"/>
      <c r="F103" s="25"/>
      <c r="G103" s="27" t="s">
        <v>197</v>
      </c>
      <c r="H103" s="34" t="s">
        <v>22</v>
      </c>
      <c r="I103" s="26" t="s">
        <v>727</v>
      </c>
      <c r="J103" s="26" t="s">
        <v>728</v>
      </c>
      <c r="K103" s="26" t="s">
        <v>729</v>
      </c>
      <c r="L103" s="26" t="s">
        <v>730</v>
      </c>
      <c r="M103" s="26" t="s">
        <v>723</v>
      </c>
      <c r="N103" s="26" t="s">
        <v>731</v>
      </c>
    </row>
    <row r="104" spans="1:14" ht="14.4" customHeight="1" x14ac:dyDescent="0.3">
      <c r="A104" s="25" t="s">
        <v>732</v>
      </c>
      <c r="B104" s="29" t="s">
        <v>51</v>
      </c>
      <c r="C104" s="29" t="s">
        <v>733</v>
      </c>
      <c r="D104" s="30"/>
      <c r="E104" s="30"/>
      <c r="F104" s="30"/>
      <c r="G104" s="31" t="s">
        <v>382</v>
      </c>
      <c r="H104" s="34" t="s">
        <v>22</v>
      </c>
      <c r="I104" s="29" t="s">
        <v>734</v>
      </c>
      <c r="J104" s="29" t="s">
        <v>735</v>
      </c>
      <c r="K104" s="29" t="s">
        <v>729</v>
      </c>
      <c r="L104" s="29" t="s">
        <v>730</v>
      </c>
      <c r="M104" s="29" t="s">
        <v>490</v>
      </c>
      <c r="N104" s="29" t="s">
        <v>736</v>
      </c>
    </row>
    <row r="105" spans="1:14" ht="14.4" customHeight="1" x14ac:dyDescent="0.3">
      <c r="A105" s="25" t="s">
        <v>737</v>
      </c>
      <c r="B105" s="26" t="s">
        <v>51</v>
      </c>
      <c r="C105" s="26" t="s">
        <v>738</v>
      </c>
      <c r="D105" s="25"/>
      <c r="E105" s="25"/>
      <c r="F105" s="25"/>
      <c r="G105" s="27" t="s">
        <v>332</v>
      </c>
      <c r="H105" s="35" t="s">
        <v>25</v>
      </c>
      <c r="I105" s="26" t="s">
        <v>246</v>
      </c>
      <c r="J105" s="26" t="s">
        <v>246</v>
      </c>
      <c r="K105" s="26" t="s">
        <v>246</v>
      </c>
      <c r="L105" s="26" t="s">
        <v>730</v>
      </c>
      <c r="M105" s="26" t="s">
        <v>490</v>
      </c>
      <c r="N105" s="26" t="s">
        <v>739</v>
      </c>
    </row>
    <row r="106" spans="1:14" ht="14.4" customHeight="1" x14ac:dyDescent="0.3">
      <c r="A106" s="25" t="s">
        <v>740</v>
      </c>
      <c r="B106" s="29" t="s">
        <v>51</v>
      </c>
      <c r="C106" s="29" t="s">
        <v>741</v>
      </c>
      <c r="D106" s="30"/>
      <c r="E106" s="30"/>
      <c r="F106" s="30"/>
      <c r="G106" s="31" t="s">
        <v>332</v>
      </c>
      <c r="H106" s="35" t="s">
        <v>25</v>
      </c>
      <c r="I106" s="29" t="s">
        <v>246</v>
      </c>
      <c r="J106" s="29" t="s">
        <v>246</v>
      </c>
      <c r="K106" s="29" t="s">
        <v>246</v>
      </c>
      <c r="L106" s="29" t="s">
        <v>730</v>
      </c>
      <c r="M106" s="29" t="s">
        <v>490</v>
      </c>
      <c r="N106" s="29" t="s">
        <v>742</v>
      </c>
    </row>
    <row r="107" spans="1:14" ht="14.4" customHeight="1" x14ac:dyDescent="0.3">
      <c r="A107" s="25" t="s">
        <v>743</v>
      </c>
      <c r="B107" s="26" t="s">
        <v>51</v>
      </c>
      <c r="C107" s="26" t="s">
        <v>744</v>
      </c>
      <c r="D107" s="25"/>
      <c r="E107" s="25"/>
      <c r="F107" s="25"/>
      <c r="G107" s="27" t="s">
        <v>332</v>
      </c>
      <c r="H107" s="35" t="s">
        <v>25</v>
      </c>
      <c r="I107" s="26" t="s">
        <v>246</v>
      </c>
      <c r="J107" s="26" t="s">
        <v>246</v>
      </c>
      <c r="K107" s="26" t="s">
        <v>246</v>
      </c>
      <c r="L107" s="26" t="s">
        <v>730</v>
      </c>
      <c r="M107" s="26" t="s">
        <v>490</v>
      </c>
      <c r="N107" s="26" t="s">
        <v>745</v>
      </c>
    </row>
    <row r="108" spans="1:14" ht="24" customHeight="1" x14ac:dyDescent="0.3">
      <c r="A108" s="25" t="s">
        <v>746</v>
      </c>
      <c r="B108" s="29" t="s">
        <v>51</v>
      </c>
      <c r="C108" s="29" t="s">
        <v>747</v>
      </c>
      <c r="D108" s="30"/>
      <c r="E108" s="30"/>
      <c r="F108" s="30"/>
      <c r="G108" s="31" t="s">
        <v>748</v>
      </c>
      <c r="H108" s="28" t="s">
        <v>23</v>
      </c>
      <c r="I108" s="29" t="s">
        <v>246</v>
      </c>
      <c r="J108" s="29" t="s">
        <v>246</v>
      </c>
      <c r="K108" s="29" t="s">
        <v>749</v>
      </c>
      <c r="L108" s="29" t="s">
        <v>750</v>
      </c>
      <c r="M108" s="29" t="s">
        <v>490</v>
      </c>
      <c r="N108" s="29" t="s">
        <v>751</v>
      </c>
    </row>
    <row r="109" spans="1:14" ht="14.4" customHeight="1" x14ac:dyDescent="0.3">
      <c r="A109" s="25" t="s">
        <v>752</v>
      </c>
      <c r="B109" s="26" t="s">
        <v>51</v>
      </c>
      <c r="C109" s="26" t="s">
        <v>753</v>
      </c>
      <c r="D109" s="25"/>
      <c r="E109" s="25"/>
      <c r="F109" s="25"/>
      <c r="G109" s="27" t="s">
        <v>332</v>
      </c>
      <c r="H109" s="35" t="s">
        <v>25</v>
      </c>
      <c r="I109" s="26" t="s">
        <v>246</v>
      </c>
      <c r="J109" s="26" t="s">
        <v>246</v>
      </c>
      <c r="K109" s="26" t="s">
        <v>754</v>
      </c>
      <c r="L109" s="26" t="s">
        <v>755</v>
      </c>
      <c r="M109" s="26"/>
      <c r="N109" s="26" t="s">
        <v>756</v>
      </c>
    </row>
    <row r="110" spans="1:14" ht="14.4" customHeight="1" x14ac:dyDescent="0.3">
      <c r="A110" s="25" t="s">
        <v>757</v>
      </c>
      <c r="B110" s="29" t="s">
        <v>51</v>
      </c>
      <c r="C110" s="29" t="s">
        <v>758</v>
      </c>
      <c r="D110" s="30"/>
      <c r="E110" s="30"/>
      <c r="F110" s="30"/>
      <c r="G110" s="31" t="s">
        <v>332</v>
      </c>
      <c r="H110" s="35" t="s">
        <v>25</v>
      </c>
      <c r="I110" s="29" t="s">
        <v>246</v>
      </c>
      <c r="J110" s="29" t="s">
        <v>246</v>
      </c>
      <c r="K110" s="29" t="s">
        <v>246</v>
      </c>
      <c r="L110" s="29" t="s">
        <v>730</v>
      </c>
      <c r="M110" s="29" t="s">
        <v>490</v>
      </c>
      <c r="N110" s="29" t="s">
        <v>745</v>
      </c>
    </row>
    <row r="111" spans="1:14" ht="14.4" customHeight="1" x14ac:dyDescent="0.3">
      <c r="A111" s="25" t="s">
        <v>759</v>
      </c>
      <c r="B111" s="26" t="s">
        <v>37</v>
      </c>
      <c r="C111" s="26" t="s">
        <v>760</v>
      </c>
      <c r="D111" s="25"/>
      <c r="E111" s="25"/>
      <c r="F111" s="25"/>
      <c r="G111" s="27" t="s">
        <v>411</v>
      </c>
      <c r="H111" s="34" t="s">
        <v>22</v>
      </c>
      <c r="I111" s="26" t="s">
        <v>761</v>
      </c>
      <c r="J111" s="26" t="s">
        <v>762</v>
      </c>
      <c r="K111" s="26" t="s">
        <v>763</v>
      </c>
      <c r="L111" s="26" t="s">
        <v>764</v>
      </c>
      <c r="M111" s="26" t="s">
        <v>765</v>
      </c>
      <c r="N111" s="26" t="s">
        <v>766</v>
      </c>
    </row>
    <row r="112" spans="1:14" ht="14.4" customHeight="1" x14ac:dyDescent="0.3">
      <c r="A112" s="25" t="s">
        <v>767</v>
      </c>
      <c r="B112" s="29" t="s">
        <v>37</v>
      </c>
      <c r="C112" s="29" t="s">
        <v>768</v>
      </c>
      <c r="D112" s="30"/>
      <c r="E112" s="30"/>
      <c r="F112" s="30"/>
      <c r="G112" s="31" t="s">
        <v>459</v>
      </c>
      <c r="H112" s="34" t="s">
        <v>22</v>
      </c>
      <c r="I112" s="29" t="s">
        <v>768</v>
      </c>
      <c r="J112" s="29" t="s">
        <v>769</v>
      </c>
      <c r="K112" s="29" t="s">
        <v>763</v>
      </c>
      <c r="L112" s="29" t="s">
        <v>764</v>
      </c>
      <c r="M112" s="29" t="s">
        <v>765</v>
      </c>
      <c r="N112" s="29" t="s">
        <v>770</v>
      </c>
    </row>
    <row r="113" spans="1:14" ht="72" customHeight="1" x14ac:dyDescent="0.3">
      <c r="A113" s="25" t="s">
        <v>771</v>
      </c>
      <c r="B113" s="26" t="s">
        <v>772</v>
      </c>
      <c r="C113" s="26" t="s">
        <v>773</v>
      </c>
      <c r="D113" s="25" t="s">
        <v>774</v>
      </c>
      <c r="E113" s="25" t="s">
        <v>232</v>
      </c>
      <c r="F113" s="25" t="s">
        <v>774</v>
      </c>
      <c r="G113" s="27" t="s">
        <v>196</v>
      </c>
      <c r="H113" s="32" t="s">
        <v>21</v>
      </c>
      <c r="I113" s="26"/>
      <c r="J113" s="26"/>
      <c r="K113" s="26"/>
      <c r="L113" s="26"/>
      <c r="M113" s="26"/>
      <c r="N113" s="26" t="s">
        <v>775</v>
      </c>
    </row>
    <row r="114" spans="1:14" ht="72" customHeight="1" x14ac:dyDescent="0.3">
      <c r="A114" s="25" t="s">
        <v>776</v>
      </c>
      <c r="B114" s="29" t="s">
        <v>772</v>
      </c>
      <c r="C114" s="29" t="s">
        <v>777</v>
      </c>
      <c r="D114" s="30" t="s">
        <v>634</v>
      </c>
      <c r="E114" s="30" t="s">
        <v>232</v>
      </c>
      <c r="F114" s="30" t="s">
        <v>634</v>
      </c>
      <c r="G114" s="31" t="s">
        <v>196</v>
      </c>
      <c r="H114" s="32" t="s">
        <v>21</v>
      </c>
      <c r="I114" s="29" t="s">
        <v>246</v>
      </c>
      <c r="J114" s="29" t="s">
        <v>246</v>
      </c>
      <c r="K114" s="29" t="s">
        <v>246</v>
      </c>
      <c r="L114" s="29"/>
      <c r="M114" s="29"/>
      <c r="N114" s="29"/>
    </row>
    <row r="115" spans="1:14" ht="48" customHeight="1" x14ac:dyDescent="0.3">
      <c r="A115" s="25" t="s">
        <v>778</v>
      </c>
      <c r="B115" s="26" t="s">
        <v>772</v>
      </c>
      <c r="C115" s="26" t="s">
        <v>779</v>
      </c>
      <c r="D115" s="25" t="s">
        <v>780</v>
      </c>
      <c r="E115" s="25"/>
      <c r="F115" s="25" t="s">
        <v>780</v>
      </c>
      <c r="G115" s="27" t="s">
        <v>196</v>
      </c>
      <c r="H115" s="32" t="s">
        <v>21</v>
      </c>
      <c r="I115" s="26" t="s">
        <v>398</v>
      </c>
      <c r="J115" s="26" t="s">
        <v>246</v>
      </c>
      <c r="K115" s="26" t="s">
        <v>246</v>
      </c>
      <c r="L115" s="26"/>
      <c r="M115" s="26"/>
      <c r="N115" s="26"/>
    </row>
    <row r="116" spans="1:14" ht="14.4" customHeight="1" x14ac:dyDescent="0.3">
      <c r="A116" s="25" t="s">
        <v>781</v>
      </c>
      <c r="B116" s="29" t="s">
        <v>772</v>
      </c>
      <c r="C116" s="29" t="s">
        <v>782</v>
      </c>
      <c r="D116" s="30" t="s">
        <v>783</v>
      </c>
      <c r="E116" s="30"/>
      <c r="F116" s="30" t="s">
        <v>783</v>
      </c>
      <c r="G116" s="31" t="s">
        <v>196</v>
      </c>
      <c r="H116" s="32" t="s">
        <v>21</v>
      </c>
      <c r="I116" s="29" t="s">
        <v>246</v>
      </c>
      <c r="J116" s="29" t="s">
        <v>246</v>
      </c>
      <c r="K116" s="29" t="s">
        <v>246</v>
      </c>
      <c r="L116" s="29"/>
      <c r="M116" s="29"/>
      <c r="N116" s="29"/>
    </row>
    <row r="117" spans="1:14" ht="60" customHeight="1" x14ac:dyDescent="0.3">
      <c r="A117" s="25" t="s">
        <v>784</v>
      </c>
      <c r="B117" s="26" t="s">
        <v>772</v>
      </c>
      <c r="C117" s="26" t="s">
        <v>785</v>
      </c>
      <c r="D117" s="25" t="s">
        <v>786</v>
      </c>
      <c r="E117" s="25" t="s">
        <v>232</v>
      </c>
      <c r="F117" s="25" t="s">
        <v>786</v>
      </c>
      <c r="G117" s="27" t="s">
        <v>196</v>
      </c>
      <c r="H117" s="32" t="s">
        <v>21</v>
      </c>
      <c r="I117" s="26"/>
      <c r="J117" s="26"/>
      <c r="K117" s="26"/>
      <c r="L117" s="26"/>
      <c r="M117" s="26"/>
      <c r="N117" s="26"/>
    </row>
    <row r="118" spans="1:14" ht="14.4" customHeight="1" x14ac:dyDescent="0.3">
      <c r="A118" s="25" t="s">
        <v>787</v>
      </c>
      <c r="B118" s="29" t="s">
        <v>772</v>
      </c>
      <c r="C118" s="29" t="s">
        <v>788</v>
      </c>
      <c r="D118" s="30" t="s">
        <v>566</v>
      </c>
      <c r="E118" s="30" t="s">
        <v>232</v>
      </c>
      <c r="F118" s="30" t="s">
        <v>388</v>
      </c>
      <c r="G118" s="31" t="s">
        <v>186</v>
      </c>
      <c r="H118" s="28" t="s">
        <v>23</v>
      </c>
      <c r="I118" s="29" t="s">
        <v>246</v>
      </c>
      <c r="J118" s="29" t="s">
        <v>246</v>
      </c>
      <c r="K118" s="29" t="s">
        <v>246</v>
      </c>
      <c r="L118" s="29" t="s">
        <v>407</v>
      </c>
      <c r="M118" s="29" t="s">
        <v>789</v>
      </c>
      <c r="N118" s="29" t="s">
        <v>790</v>
      </c>
    </row>
    <row r="119" spans="1:14" ht="14.4" customHeight="1" x14ac:dyDescent="0.3">
      <c r="A119" s="25" t="s">
        <v>791</v>
      </c>
      <c r="B119" s="26" t="s">
        <v>772</v>
      </c>
      <c r="C119" s="26" t="s">
        <v>792</v>
      </c>
      <c r="D119" s="25" t="s">
        <v>566</v>
      </c>
      <c r="E119" s="25"/>
      <c r="F119" s="25" t="s">
        <v>255</v>
      </c>
      <c r="G119" s="27" t="s">
        <v>411</v>
      </c>
      <c r="H119" s="28" t="s">
        <v>23</v>
      </c>
      <c r="I119" s="26" t="s">
        <v>398</v>
      </c>
      <c r="J119" s="26" t="s">
        <v>246</v>
      </c>
      <c r="K119" s="26" t="s">
        <v>246</v>
      </c>
      <c r="L119" s="26" t="s">
        <v>401</v>
      </c>
      <c r="M119" s="26" t="s">
        <v>789</v>
      </c>
      <c r="N119" s="26" t="s">
        <v>790</v>
      </c>
    </row>
    <row r="120" spans="1:14" ht="14.4" customHeight="1" x14ac:dyDescent="0.3">
      <c r="A120" s="25" t="s">
        <v>793</v>
      </c>
      <c r="B120" s="29" t="s">
        <v>772</v>
      </c>
      <c r="C120" s="29" t="s">
        <v>794</v>
      </c>
      <c r="D120" s="30" t="s">
        <v>281</v>
      </c>
      <c r="E120" s="30"/>
      <c r="F120" s="30" t="s">
        <v>281</v>
      </c>
      <c r="G120" s="31" t="s">
        <v>196</v>
      </c>
      <c r="H120" s="32" t="s">
        <v>21</v>
      </c>
      <c r="I120" s="29" t="s">
        <v>246</v>
      </c>
      <c r="J120" s="29" t="s">
        <v>246</v>
      </c>
      <c r="K120" s="29" t="s">
        <v>246</v>
      </c>
      <c r="L120" s="29"/>
      <c r="M120" s="29"/>
      <c r="N120" s="29"/>
    </row>
    <row r="121" spans="1:14" ht="24" customHeight="1" x14ac:dyDescent="0.3">
      <c r="A121" s="25" t="s">
        <v>795</v>
      </c>
      <c r="B121" s="26" t="s">
        <v>772</v>
      </c>
      <c r="C121" s="26" t="s">
        <v>796</v>
      </c>
      <c r="D121" s="25" t="s">
        <v>437</v>
      </c>
      <c r="E121" s="25" t="s">
        <v>232</v>
      </c>
      <c r="F121" s="25" t="s">
        <v>437</v>
      </c>
      <c r="G121" s="27" t="s">
        <v>196</v>
      </c>
      <c r="H121" s="32" t="s">
        <v>21</v>
      </c>
      <c r="I121" s="26"/>
      <c r="J121" s="26"/>
      <c r="K121" s="26"/>
      <c r="L121" s="26"/>
      <c r="M121" s="26"/>
      <c r="N121" s="26"/>
    </row>
    <row r="122" spans="1:14" ht="14.4" customHeight="1" x14ac:dyDescent="0.3">
      <c r="A122" s="25" t="s">
        <v>797</v>
      </c>
      <c r="B122" s="29" t="s">
        <v>772</v>
      </c>
      <c r="C122" s="29" t="s">
        <v>798</v>
      </c>
      <c r="D122" s="30" t="s">
        <v>281</v>
      </c>
      <c r="E122" s="30" t="s">
        <v>232</v>
      </c>
      <c r="F122" s="30" t="s">
        <v>281</v>
      </c>
      <c r="G122" s="31" t="s">
        <v>196</v>
      </c>
      <c r="H122" s="32" t="s">
        <v>21</v>
      </c>
      <c r="I122" s="29" t="s">
        <v>246</v>
      </c>
      <c r="J122" s="29" t="s">
        <v>246</v>
      </c>
      <c r="K122" s="29" t="s">
        <v>246</v>
      </c>
      <c r="L122" s="29"/>
      <c r="M122" s="29"/>
      <c r="N122" s="29"/>
    </row>
    <row r="123" spans="1:14" ht="24" customHeight="1" x14ac:dyDescent="0.3">
      <c r="A123" s="25" t="s">
        <v>799</v>
      </c>
      <c r="B123" s="26" t="s">
        <v>772</v>
      </c>
      <c r="C123" s="26" t="s">
        <v>800</v>
      </c>
      <c r="D123" s="25" t="s">
        <v>281</v>
      </c>
      <c r="E123" s="25"/>
      <c r="F123" s="25" t="s">
        <v>281</v>
      </c>
      <c r="G123" s="27" t="s">
        <v>196</v>
      </c>
      <c r="H123" s="32" t="s">
        <v>21</v>
      </c>
      <c r="I123" s="26" t="s">
        <v>246</v>
      </c>
      <c r="J123" s="26" t="s">
        <v>246</v>
      </c>
      <c r="K123" s="26" t="s">
        <v>246</v>
      </c>
      <c r="L123" s="26"/>
      <c r="M123" s="26"/>
      <c r="N123" s="26"/>
    </row>
    <row r="124" spans="1:14" ht="14.4" customHeight="1" x14ac:dyDescent="0.3">
      <c r="A124" s="25" t="s">
        <v>801</v>
      </c>
      <c r="B124" s="29" t="s">
        <v>772</v>
      </c>
      <c r="C124" s="29" t="s">
        <v>802</v>
      </c>
      <c r="D124" s="30" t="s">
        <v>255</v>
      </c>
      <c r="E124" s="30" t="s">
        <v>232</v>
      </c>
      <c r="F124" s="30" t="s">
        <v>269</v>
      </c>
      <c r="G124" s="31" t="s">
        <v>429</v>
      </c>
      <c r="H124" s="28" t="s">
        <v>23</v>
      </c>
      <c r="I124" s="29"/>
      <c r="J124" s="29"/>
      <c r="K124" s="29"/>
      <c r="L124" s="29" t="s">
        <v>803</v>
      </c>
      <c r="M124" s="29" t="s">
        <v>789</v>
      </c>
      <c r="N124" s="29" t="s">
        <v>790</v>
      </c>
    </row>
    <row r="125" spans="1:14" ht="24" customHeight="1" x14ac:dyDescent="0.3">
      <c r="A125" s="25" t="s">
        <v>804</v>
      </c>
      <c r="B125" s="26" t="s">
        <v>772</v>
      </c>
      <c r="C125" s="26" t="s">
        <v>805</v>
      </c>
      <c r="D125" s="25" t="s">
        <v>437</v>
      </c>
      <c r="E125" s="25" t="s">
        <v>232</v>
      </c>
      <c r="F125" s="25" t="s">
        <v>437</v>
      </c>
      <c r="G125" s="27" t="s">
        <v>196</v>
      </c>
      <c r="H125" s="32" t="s">
        <v>21</v>
      </c>
      <c r="I125" s="26" t="s">
        <v>246</v>
      </c>
      <c r="J125" s="26" t="s">
        <v>246</v>
      </c>
      <c r="K125" s="26" t="s">
        <v>246</v>
      </c>
      <c r="L125" s="26"/>
      <c r="M125" s="26"/>
      <c r="N125" s="26"/>
    </row>
    <row r="126" spans="1:14" ht="14.4" customHeight="1" x14ac:dyDescent="0.3">
      <c r="A126" s="25" t="s">
        <v>806</v>
      </c>
      <c r="B126" s="29" t="s">
        <v>772</v>
      </c>
      <c r="C126" s="29" t="s">
        <v>807</v>
      </c>
      <c r="D126" s="30"/>
      <c r="E126" s="30"/>
      <c r="F126" s="30"/>
      <c r="G126" s="31"/>
      <c r="H126" s="30"/>
      <c r="I126" s="29"/>
      <c r="J126" s="29"/>
      <c r="K126" s="29"/>
      <c r="L126" s="29"/>
      <c r="M126" s="29"/>
      <c r="N126" s="29"/>
    </row>
    <row r="127" spans="1:14" ht="14.4" customHeight="1" x14ac:dyDescent="0.3">
      <c r="A127" s="25" t="s">
        <v>808</v>
      </c>
      <c r="B127" s="26" t="s">
        <v>772</v>
      </c>
      <c r="C127" s="26" t="s">
        <v>809</v>
      </c>
      <c r="D127" s="25" t="s">
        <v>188</v>
      </c>
      <c r="E127" s="25"/>
      <c r="F127" s="25" t="s">
        <v>232</v>
      </c>
      <c r="G127" s="27" t="s">
        <v>332</v>
      </c>
      <c r="H127" s="35" t="s">
        <v>25</v>
      </c>
      <c r="I127" s="26" t="s">
        <v>246</v>
      </c>
      <c r="J127" s="26" t="s">
        <v>246</v>
      </c>
      <c r="K127" s="26" t="s">
        <v>246</v>
      </c>
      <c r="L127" s="26" t="s">
        <v>810</v>
      </c>
      <c r="M127" s="26" t="s">
        <v>811</v>
      </c>
      <c r="N127" s="26" t="s">
        <v>790</v>
      </c>
    </row>
    <row r="128" spans="1:14" ht="14.4" customHeight="1" x14ac:dyDescent="0.3">
      <c r="A128" s="25" t="s">
        <v>812</v>
      </c>
      <c r="B128" s="29" t="s">
        <v>772</v>
      </c>
      <c r="C128" s="29" t="s">
        <v>813</v>
      </c>
      <c r="D128" s="30" t="s">
        <v>814</v>
      </c>
      <c r="E128" s="30"/>
      <c r="F128" s="30" t="s">
        <v>232</v>
      </c>
      <c r="G128" s="31" t="s">
        <v>332</v>
      </c>
      <c r="H128" s="35" t="s">
        <v>25</v>
      </c>
      <c r="I128" s="29" t="s">
        <v>246</v>
      </c>
      <c r="J128" s="29" t="s">
        <v>246</v>
      </c>
      <c r="K128" s="29" t="s">
        <v>246</v>
      </c>
      <c r="L128" s="29" t="s">
        <v>407</v>
      </c>
      <c r="M128" s="29" t="s">
        <v>811</v>
      </c>
      <c r="N128" s="29" t="s">
        <v>790</v>
      </c>
    </row>
    <row r="129" spans="1:14" ht="14.4" customHeight="1" x14ac:dyDescent="0.3">
      <c r="A129" s="25" t="s">
        <v>815</v>
      </c>
      <c r="B129" s="26" t="s">
        <v>772</v>
      </c>
      <c r="C129" s="26" t="s">
        <v>816</v>
      </c>
      <c r="D129" s="25" t="s">
        <v>817</v>
      </c>
      <c r="E129" s="25"/>
      <c r="F129" s="25" t="s">
        <v>232</v>
      </c>
      <c r="G129" s="27" t="s">
        <v>332</v>
      </c>
      <c r="H129" s="28" t="s">
        <v>23</v>
      </c>
      <c r="I129" s="26" t="s">
        <v>246</v>
      </c>
      <c r="J129" s="26" t="s">
        <v>246</v>
      </c>
      <c r="K129" s="26" t="s">
        <v>246</v>
      </c>
      <c r="L129" s="26" t="s">
        <v>407</v>
      </c>
      <c r="M129" s="26" t="s">
        <v>811</v>
      </c>
      <c r="N129" s="26" t="s">
        <v>790</v>
      </c>
    </row>
    <row r="130" spans="1:14" ht="14.4" customHeight="1" x14ac:dyDescent="0.3">
      <c r="A130" s="25" t="s">
        <v>818</v>
      </c>
      <c r="B130" s="29" t="s">
        <v>772</v>
      </c>
      <c r="C130" s="29" t="s">
        <v>819</v>
      </c>
      <c r="D130" s="30" t="s">
        <v>820</v>
      </c>
      <c r="E130" s="30"/>
      <c r="F130" s="30" t="s">
        <v>232</v>
      </c>
      <c r="G130" s="31" t="s">
        <v>185</v>
      </c>
      <c r="H130" s="28" t="s">
        <v>23</v>
      </c>
      <c r="I130" s="29" t="s">
        <v>246</v>
      </c>
      <c r="J130" s="29" t="s">
        <v>246</v>
      </c>
      <c r="K130" s="29" t="s">
        <v>246</v>
      </c>
      <c r="L130" s="29" t="s">
        <v>407</v>
      </c>
      <c r="M130" s="29" t="s">
        <v>811</v>
      </c>
      <c r="N130" s="29" t="s">
        <v>790</v>
      </c>
    </row>
    <row r="131" spans="1:14" ht="14.4" customHeight="1" x14ac:dyDescent="0.3">
      <c r="A131" s="25" t="s">
        <v>821</v>
      </c>
      <c r="B131" s="26" t="s">
        <v>772</v>
      </c>
      <c r="C131" s="26" t="s">
        <v>822</v>
      </c>
      <c r="D131" s="25" t="s">
        <v>823</v>
      </c>
      <c r="E131" s="25"/>
      <c r="F131" s="25" t="s">
        <v>232</v>
      </c>
      <c r="G131" s="27" t="s">
        <v>332</v>
      </c>
      <c r="H131" s="28" t="s">
        <v>23</v>
      </c>
      <c r="I131" s="26" t="s">
        <v>246</v>
      </c>
      <c r="J131" s="26" t="s">
        <v>246</v>
      </c>
      <c r="K131" s="26" t="s">
        <v>246</v>
      </c>
      <c r="L131" s="26" t="s">
        <v>407</v>
      </c>
      <c r="M131" s="26" t="s">
        <v>811</v>
      </c>
      <c r="N131" s="26" t="s">
        <v>790</v>
      </c>
    </row>
    <row r="132" spans="1:14" ht="14.4" customHeight="1" x14ac:dyDescent="0.3">
      <c r="A132" s="25" t="s">
        <v>824</v>
      </c>
      <c r="B132" s="29" t="s">
        <v>772</v>
      </c>
      <c r="C132" s="29" t="s">
        <v>825</v>
      </c>
      <c r="D132" s="30" t="s">
        <v>612</v>
      </c>
      <c r="E132" s="30"/>
      <c r="F132" s="30" t="s">
        <v>232</v>
      </c>
      <c r="G132" s="31" t="s">
        <v>332</v>
      </c>
      <c r="H132" s="35" t="s">
        <v>25</v>
      </c>
      <c r="I132" s="29" t="s">
        <v>246</v>
      </c>
      <c r="J132" s="29" t="s">
        <v>246</v>
      </c>
      <c r="K132" s="29" t="s">
        <v>246</v>
      </c>
      <c r="L132" s="29" t="s">
        <v>407</v>
      </c>
      <c r="M132" s="29" t="s">
        <v>811</v>
      </c>
      <c r="N132" s="29" t="s">
        <v>790</v>
      </c>
    </row>
    <row r="133" spans="1:14" ht="60" customHeight="1" x14ac:dyDescent="0.3">
      <c r="A133" s="25" t="s">
        <v>826</v>
      </c>
      <c r="B133" s="26" t="s">
        <v>827</v>
      </c>
      <c r="C133" s="26" t="s">
        <v>828</v>
      </c>
      <c r="D133" s="25"/>
      <c r="E133" s="25"/>
      <c r="F133" s="25"/>
      <c r="G133" s="36">
        <v>0.65</v>
      </c>
      <c r="H133" s="37" t="s">
        <v>829</v>
      </c>
      <c r="I133" s="38" t="s">
        <v>246</v>
      </c>
      <c r="J133" s="39" t="s">
        <v>830</v>
      </c>
      <c r="K133" s="38" t="s">
        <v>831</v>
      </c>
      <c r="L133" s="40" t="s">
        <v>832</v>
      </c>
      <c r="M133" s="26"/>
      <c r="N133" s="39" t="s">
        <v>833</v>
      </c>
    </row>
    <row r="134" spans="1:14" ht="60" customHeight="1" x14ac:dyDescent="0.3">
      <c r="A134" s="25" t="s">
        <v>834</v>
      </c>
      <c r="B134" s="29" t="s">
        <v>827</v>
      </c>
      <c r="C134" s="29" t="s">
        <v>835</v>
      </c>
      <c r="D134" s="30"/>
      <c r="E134" s="30"/>
      <c r="F134" s="30"/>
      <c r="G134" s="41">
        <v>0.52</v>
      </c>
      <c r="H134" s="42" t="s">
        <v>23</v>
      </c>
      <c r="I134" s="43" t="s">
        <v>246</v>
      </c>
      <c r="J134" s="43" t="s">
        <v>830</v>
      </c>
      <c r="K134" s="44" t="s">
        <v>831</v>
      </c>
      <c r="L134" s="45" t="s">
        <v>832</v>
      </c>
      <c r="M134" s="29"/>
      <c r="N134" s="43" t="s">
        <v>836</v>
      </c>
    </row>
    <row r="135" spans="1:14" ht="36" customHeight="1" x14ac:dyDescent="0.3">
      <c r="A135" s="25" t="s">
        <v>837</v>
      </c>
      <c r="B135" s="26" t="s">
        <v>827</v>
      </c>
      <c r="C135" s="26" t="s">
        <v>838</v>
      </c>
      <c r="D135" s="25"/>
      <c r="E135" s="25"/>
      <c r="F135" s="25"/>
      <c r="G135" s="46">
        <v>0.75</v>
      </c>
      <c r="H135" s="47" t="s">
        <v>839</v>
      </c>
      <c r="I135" s="39" t="s">
        <v>840</v>
      </c>
      <c r="J135" s="39" t="s">
        <v>841</v>
      </c>
      <c r="K135" s="39" t="s">
        <v>830</v>
      </c>
      <c r="L135" s="40" t="s">
        <v>842</v>
      </c>
      <c r="M135" s="26"/>
      <c r="N135" s="39" t="s">
        <v>843</v>
      </c>
    </row>
    <row r="136" spans="1:14" ht="48" customHeight="1" x14ac:dyDescent="0.3">
      <c r="A136" s="25" t="s">
        <v>844</v>
      </c>
      <c r="B136" s="29" t="s">
        <v>827</v>
      </c>
      <c r="C136" s="29" t="s">
        <v>845</v>
      </c>
      <c r="D136" s="30"/>
      <c r="E136" s="30"/>
      <c r="F136" s="30"/>
      <c r="G136" s="48">
        <v>0.65</v>
      </c>
      <c r="H136" s="47" t="s">
        <v>839</v>
      </c>
      <c r="I136" s="29" t="s">
        <v>846</v>
      </c>
      <c r="J136" s="29" t="s">
        <v>246</v>
      </c>
      <c r="K136" s="29" t="s">
        <v>847</v>
      </c>
      <c r="L136" s="29" t="s">
        <v>848</v>
      </c>
      <c r="M136" s="29"/>
      <c r="N136" s="43" t="s">
        <v>849</v>
      </c>
    </row>
    <row r="137" spans="1:14" ht="60" customHeight="1" x14ac:dyDescent="0.3">
      <c r="A137" s="25" t="s">
        <v>8</v>
      </c>
      <c r="B137" s="26" t="s">
        <v>827</v>
      </c>
      <c r="C137" s="26" t="s">
        <v>850</v>
      </c>
      <c r="D137" s="25"/>
      <c r="E137" s="25"/>
      <c r="F137" s="25"/>
      <c r="G137" s="49">
        <v>0.54</v>
      </c>
      <c r="H137" s="34" t="s">
        <v>839</v>
      </c>
      <c r="I137" s="26" t="s">
        <v>851</v>
      </c>
      <c r="J137" s="26" t="s">
        <v>852</v>
      </c>
      <c r="K137" s="26" t="s">
        <v>853</v>
      </c>
      <c r="L137" s="26" t="s">
        <v>854</v>
      </c>
      <c r="M137" s="26"/>
      <c r="N137" s="39" t="s">
        <v>855</v>
      </c>
    </row>
    <row r="138" spans="1:14" ht="60" customHeight="1" x14ac:dyDescent="0.3">
      <c r="A138" s="25" t="s">
        <v>856</v>
      </c>
      <c r="B138" s="26" t="s">
        <v>857</v>
      </c>
      <c r="C138" s="26" t="s">
        <v>858</v>
      </c>
      <c r="D138" s="25"/>
      <c r="E138" s="25"/>
      <c r="F138" s="25"/>
      <c r="G138" s="49"/>
      <c r="H138" s="34" t="s">
        <v>839</v>
      </c>
      <c r="I138" s="26" t="s">
        <v>859</v>
      </c>
      <c r="J138" s="26" t="s">
        <v>860</v>
      </c>
      <c r="K138" s="26" t="s">
        <v>861</v>
      </c>
      <c r="L138" s="26" t="s">
        <v>862</v>
      </c>
      <c r="M138" s="26" t="s">
        <v>863</v>
      </c>
      <c r="N138" s="39" t="s">
        <v>864</v>
      </c>
    </row>
    <row r="139" spans="1:14" ht="60" customHeight="1" x14ac:dyDescent="0.3">
      <c r="A139" s="25" t="s">
        <v>865</v>
      </c>
      <c r="B139" s="26" t="s">
        <v>857</v>
      </c>
      <c r="C139" s="26" t="s">
        <v>866</v>
      </c>
      <c r="D139" s="25"/>
      <c r="E139" s="25"/>
      <c r="F139" s="25"/>
      <c r="G139" s="49"/>
      <c r="H139" s="34" t="s">
        <v>839</v>
      </c>
      <c r="I139" s="26" t="s">
        <v>867</v>
      </c>
      <c r="J139" s="26" t="s">
        <v>868</v>
      </c>
      <c r="K139" s="26" t="s">
        <v>869</v>
      </c>
      <c r="L139" s="26" t="s">
        <v>870</v>
      </c>
      <c r="M139" s="26" t="s">
        <v>871</v>
      </c>
      <c r="N139" s="39" t="s">
        <v>872</v>
      </c>
    </row>
    <row r="140" spans="1:14" ht="48" customHeight="1" x14ac:dyDescent="0.3">
      <c r="A140" s="25" t="s">
        <v>873</v>
      </c>
      <c r="B140" s="26" t="s">
        <v>857</v>
      </c>
      <c r="C140" s="26" t="s">
        <v>874</v>
      </c>
      <c r="D140" s="25"/>
      <c r="E140" s="25"/>
      <c r="F140" s="25"/>
      <c r="G140" s="49"/>
      <c r="H140" s="34" t="s">
        <v>839</v>
      </c>
      <c r="I140" s="26" t="s">
        <v>875</v>
      </c>
      <c r="J140" s="26" t="s">
        <v>860</v>
      </c>
      <c r="K140" s="26" t="s">
        <v>876</v>
      </c>
      <c r="L140" s="26" t="s">
        <v>877</v>
      </c>
      <c r="M140" s="26" t="s">
        <v>878</v>
      </c>
      <c r="N140" s="39" t="s">
        <v>864</v>
      </c>
    </row>
    <row r="141" spans="1:14" ht="48" customHeight="1" x14ac:dyDescent="0.3">
      <c r="A141" s="25" t="s">
        <v>879</v>
      </c>
      <c r="B141" s="26" t="s">
        <v>857</v>
      </c>
      <c r="C141" s="26" t="s">
        <v>858</v>
      </c>
      <c r="D141" s="25"/>
      <c r="E141" s="25"/>
      <c r="F141" s="25"/>
      <c r="G141" s="49"/>
      <c r="H141" s="34" t="s">
        <v>839</v>
      </c>
      <c r="I141" s="26" t="s">
        <v>859</v>
      </c>
      <c r="J141" s="26" t="s">
        <v>860</v>
      </c>
      <c r="K141" s="26" t="s">
        <v>876</v>
      </c>
      <c r="L141" s="26" t="s">
        <v>877</v>
      </c>
      <c r="M141" s="26" t="s">
        <v>880</v>
      </c>
      <c r="N141" s="39" t="s">
        <v>864</v>
      </c>
    </row>
    <row r="142" spans="1:14" ht="48" customHeight="1" x14ac:dyDescent="0.3">
      <c r="A142" s="50">
        <v>2</v>
      </c>
      <c r="B142" s="51" t="s">
        <v>66</v>
      </c>
      <c r="C142" s="51" t="s">
        <v>881</v>
      </c>
      <c r="D142" s="51" t="s">
        <v>425</v>
      </c>
      <c r="E142" s="51" t="s">
        <v>425</v>
      </c>
      <c r="F142" s="51" t="s">
        <v>425</v>
      </c>
      <c r="G142" s="52" t="s">
        <v>559</v>
      </c>
      <c r="H142" s="53" t="s">
        <v>22</v>
      </c>
      <c r="I142" s="51" t="s">
        <v>882</v>
      </c>
      <c r="J142" s="51" t="s">
        <v>883</v>
      </c>
      <c r="K142" s="51" t="s">
        <v>884</v>
      </c>
      <c r="L142" s="51" t="s">
        <v>885</v>
      </c>
      <c r="M142" s="50" t="s">
        <v>886</v>
      </c>
      <c r="N142" s="51" t="s">
        <v>887</v>
      </c>
    </row>
    <row r="143" spans="1:14" ht="48" customHeight="1" x14ac:dyDescent="0.3">
      <c r="A143" s="54">
        <v>3</v>
      </c>
      <c r="B143" s="55" t="s">
        <v>66</v>
      </c>
      <c r="C143" s="55" t="s">
        <v>888</v>
      </c>
      <c r="D143" s="55" t="s">
        <v>425</v>
      </c>
      <c r="E143" s="55" t="s">
        <v>425</v>
      </c>
      <c r="F143" s="55" t="s">
        <v>425</v>
      </c>
      <c r="G143" s="56" t="s">
        <v>889</v>
      </c>
      <c r="H143" s="53" t="s">
        <v>22</v>
      </c>
      <c r="I143" s="55" t="s">
        <v>890</v>
      </c>
      <c r="J143" s="55" t="s">
        <v>891</v>
      </c>
      <c r="K143" s="55" t="s">
        <v>892</v>
      </c>
      <c r="L143" s="55" t="s">
        <v>893</v>
      </c>
      <c r="M143" s="54" t="s">
        <v>894</v>
      </c>
      <c r="N143" s="55" t="s">
        <v>895</v>
      </c>
    </row>
    <row r="144" spans="1:14" ht="72" customHeight="1" x14ac:dyDescent="0.3">
      <c r="A144" s="50">
        <v>4</v>
      </c>
      <c r="B144" s="51" t="s">
        <v>896</v>
      </c>
      <c r="C144" s="51" t="s">
        <v>897</v>
      </c>
      <c r="D144" s="51" t="s">
        <v>425</v>
      </c>
      <c r="E144" s="51" t="s">
        <v>425</v>
      </c>
      <c r="F144" s="51" t="s">
        <v>425</v>
      </c>
      <c r="G144" s="52" t="s">
        <v>326</v>
      </c>
      <c r="H144" s="53" t="s">
        <v>22</v>
      </c>
      <c r="I144" s="51" t="s">
        <v>898</v>
      </c>
      <c r="J144" s="51" t="s">
        <v>899</v>
      </c>
      <c r="K144" s="51" t="s">
        <v>900</v>
      </c>
      <c r="L144" s="51" t="s">
        <v>901</v>
      </c>
      <c r="M144" s="50" t="s">
        <v>902</v>
      </c>
      <c r="N144" s="51" t="s">
        <v>903</v>
      </c>
    </row>
    <row r="145" spans="1:14" ht="48" customHeight="1" x14ac:dyDescent="0.3">
      <c r="A145" s="50">
        <v>5</v>
      </c>
      <c r="B145" s="51" t="s">
        <v>904</v>
      </c>
      <c r="C145" s="51" t="s">
        <v>905</v>
      </c>
      <c r="D145" s="57">
        <v>556000000</v>
      </c>
      <c r="E145" s="51" t="s">
        <v>425</v>
      </c>
      <c r="F145" s="58">
        <v>73000000</v>
      </c>
      <c r="G145" s="59">
        <v>0.03</v>
      </c>
      <c r="H145" s="53" t="s">
        <v>22</v>
      </c>
      <c r="I145" s="51" t="s">
        <v>906</v>
      </c>
      <c r="J145" s="51" t="s">
        <v>907</v>
      </c>
      <c r="K145" s="51" t="s">
        <v>908</v>
      </c>
      <c r="L145" s="51" t="s">
        <v>909</v>
      </c>
      <c r="M145" s="60">
        <v>46264</v>
      </c>
      <c r="N145" s="51" t="s">
        <v>910</v>
      </c>
    </row>
  </sheetData>
  <mergeCells count="1">
    <mergeCell ref="A1:N1"/>
  </mergeCells>
  <printOptions horizontalCentered="1"/>
  <pageMargins left="0.4" right="0.4" top="0.5" bottom="0.5" header="0.3" footer="0.3"/>
  <pageSetup paperSize="9" fitToHeight="0" orientation="landscape" horizontalDpi="300" verticalDpi="300"/>
  <headerFooter>
    <oddHeader>&amp;C&amp;"Arial,Bold"&amp;10 INSPIRE AFRICA GROUP – CONSTRUCTION DEPARTMENT</oddHeader>
    <oddFooter>&amp;L&amp;8 Confidential | May 2026&amp;R&amp;8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6"/>
  <sheetViews>
    <sheetView topLeftCell="A49" zoomScaleNormal="100" workbookViewId="0">
      <selection activeCell="B48" sqref="B48"/>
    </sheetView>
  </sheetViews>
  <sheetFormatPr defaultColWidth="8.6640625" defaultRowHeight="14.4" x14ac:dyDescent="0.3"/>
  <cols>
    <col min="1" max="1" width="4" customWidth="1"/>
    <col min="2" max="2" width="26" customWidth="1"/>
    <col min="3" max="3" width="34" customWidth="1"/>
    <col min="4" max="4" width="8" customWidth="1"/>
    <col min="5" max="6" width="18" customWidth="1"/>
    <col min="7" max="7" width="14" customWidth="1"/>
    <col min="8" max="9" width="28" customWidth="1"/>
    <col min="10" max="10" width="22" customWidth="1"/>
    <col min="11" max="11" width="18" customWidth="1"/>
  </cols>
  <sheetData>
    <row r="1" spans="1:11" ht="22.35" customHeight="1" x14ac:dyDescent="0.3">
      <c r="A1" s="113" t="s">
        <v>911</v>
      </c>
      <c r="B1" s="69"/>
      <c r="C1" s="69"/>
      <c r="D1" s="69"/>
      <c r="E1" s="69"/>
      <c r="F1" s="69"/>
      <c r="G1" s="69"/>
      <c r="H1" s="69"/>
      <c r="I1" s="69"/>
      <c r="J1" s="69"/>
      <c r="K1" s="70"/>
    </row>
    <row r="2" spans="1:11" ht="17.55" customHeight="1" x14ac:dyDescent="0.3">
      <c r="A2" s="114" t="s">
        <v>912</v>
      </c>
      <c r="B2" s="69"/>
      <c r="C2" s="69"/>
      <c r="D2" s="69"/>
      <c r="E2" s="69"/>
      <c r="F2" s="69"/>
      <c r="G2" s="69"/>
      <c r="H2" s="69"/>
      <c r="I2" s="69"/>
      <c r="J2" s="69"/>
      <c r="K2" s="70"/>
    </row>
    <row r="3" spans="1:11" ht="25.65" customHeight="1" x14ac:dyDescent="0.3">
      <c r="A3" s="23"/>
      <c r="B3" s="23"/>
      <c r="C3" s="23"/>
      <c r="D3" s="23"/>
      <c r="E3" s="23"/>
      <c r="F3" s="23"/>
      <c r="G3" s="23"/>
      <c r="H3" s="23"/>
      <c r="I3" s="23"/>
      <c r="J3" s="23"/>
      <c r="K3" s="23"/>
    </row>
    <row r="4" spans="1:11" ht="24" customHeight="1" x14ac:dyDescent="0.3">
      <c r="A4" s="61" t="s">
        <v>208</v>
      </c>
      <c r="B4" s="61" t="s">
        <v>19</v>
      </c>
      <c r="C4" s="61" t="s">
        <v>913</v>
      </c>
      <c r="D4" s="61" t="s">
        <v>914</v>
      </c>
      <c r="E4" s="61" t="s">
        <v>915</v>
      </c>
      <c r="F4" s="61" t="s">
        <v>916</v>
      </c>
      <c r="G4" s="61" t="s">
        <v>917</v>
      </c>
      <c r="H4" s="61" t="s">
        <v>215</v>
      </c>
      <c r="I4" s="61" t="s">
        <v>918</v>
      </c>
      <c r="J4" s="61" t="s">
        <v>919</v>
      </c>
      <c r="K4" s="61" t="s">
        <v>920</v>
      </c>
    </row>
    <row r="5" spans="1:11" ht="36" customHeight="1" x14ac:dyDescent="0.3">
      <c r="A5" s="62">
        <v>1</v>
      </c>
      <c r="B5" s="63" t="s">
        <v>220</v>
      </c>
      <c r="C5" s="26" t="s">
        <v>221</v>
      </c>
      <c r="D5" s="28" t="s">
        <v>223</v>
      </c>
      <c r="E5" s="25" t="s">
        <v>228</v>
      </c>
      <c r="F5" s="25" t="s">
        <v>228</v>
      </c>
      <c r="G5" s="25" t="s">
        <v>228</v>
      </c>
      <c r="H5" s="26" t="s">
        <v>226</v>
      </c>
      <c r="I5" s="26" t="s">
        <v>227</v>
      </c>
      <c r="J5" s="26" t="s">
        <v>84</v>
      </c>
      <c r="K5" s="25" t="s">
        <v>228</v>
      </c>
    </row>
    <row r="6" spans="1:11" ht="36" customHeight="1" x14ac:dyDescent="0.3">
      <c r="A6" s="64">
        <v>2</v>
      </c>
      <c r="B6" s="65" t="s">
        <v>220</v>
      </c>
      <c r="C6" s="29" t="s">
        <v>231</v>
      </c>
      <c r="D6" s="28" t="s">
        <v>233</v>
      </c>
      <c r="E6" s="30" t="s">
        <v>238</v>
      </c>
      <c r="F6" s="30" t="s">
        <v>238</v>
      </c>
      <c r="G6" s="30" t="s">
        <v>238</v>
      </c>
      <c r="H6" s="29" t="s">
        <v>236</v>
      </c>
      <c r="I6" s="29" t="s">
        <v>237</v>
      </c>
      <c r="J6" s="29" t="s">
        <v>84</v>
      </c>
      <c r="K6" s="30" t="s">
        <v>238</v>
      </c>
    </row>
    <row r="7" spans="1:11" ht="24" customHeight="1" x14ac:dyDescent="0.3">
      <c r="A7" s="62">
        <v>3</v>
      </c>
      <c r="B7" s="63" t="s">
        <v>220</v>
      </c>
      <c r="C7" s="26" t="s">
        <v>241</v>
      </c>
      <c r="D7" s="32" t="s">
        <v>196</v>
      </c>
      <c r="E7" s="25" t="s">
        <v>21</v>
      </c>
      <c r="F7" s="25"/>
      <c r="G7" s="25" t="s">
        <v>921</v>
      </c>
      <c r="H7" s="26" t="s">
        <v>245</v>
      </c>
      <c r="I7" s="26"/>
      <c r="J7" s="26" t="s">
        <v>922</v>
      </c>
      <c r="K7" s="25" t="s">
        <v>547</v>
      </c>
    </row>
    <row r="8" spans="1:11" ht="24" customHeight="1" x14ac:dyDescent="0.3">
      <c r="A8" s="64">
        <v>4</v>
      </c>
      <c r="B8" s="65" t="s">
        <v>220</v>
      </c>
      <c r="C8" s="29" t="s">
        <v>248</v>
      </c>
      <c r="D8" s="28" t="s">
        <v>223</v>
      </c>
      <c r="E8" s="30" t="s">
        <v>923</v>
      </c>
      <c r="F8" s="30"/>
      <c r="G8" s="30" t="s">
        <v>921</v>
      </c>
      <c r="H8" s="29" t="s">
        <v>252</v>
      </c>
      <c r="I8" s="29"/>
      <c r="J8" s="29" t="s">
        <v>150</v>
      </c>
      <c r="K8" s="30" t="s">
        <v>924</v>
      </c>
    </row>
    <row r="9" spans="1:11" ht="14.4" customHeight="1" x14ac:dyDescent="0.3">
      <c r="A9" s="62">
        <v>5</v>
      </c>
      <c r="B9" s="63" t="s">
        <v>220</v>
      </c>
      <c r="C9" s="26" t="s">
        <v>254</v>
      </c>
      <c r="D9" s="32" t="s">
        <v>196</v>
      </c>
      <c r="E9" s="25" t="s">
        <v>21</v>
      </c>
      <c r="F9" s="25"/>
      <c r="G9" s="25" t="s">
        <v>921</v>
      </c>
      <c r="H9" s="26" t="s">
        <v>256</v>
      </c>
      <c r="I9" s="26"/>
      <c r="J9" s="26" t="s">
        <v>150</v>
      </c>
      <c r="K9" s="25" t="s">
        <v>547</v>
      </c>
    </row>
    <row r="10" spans="1:11" ht="14.4" customHeight="1" x14ac:dyDescent="0.3">
      <c r="A10" s="64">
        <v>6</v>
      </c>
      <c r="B10" s="65" t="s">
        <v>220</v>
      </c>
      <c r="C10" s="29" t="s">
        <v>258</v>
      </c>
      <c r="D10" s="32" t="s">
        <v>196</v>
      </c>
      <c r="E10" s="30" t="s">
        <v>21</v>
      </c>
      <c r="F10" s="30"/>
      <c r="G10" s="30" t="s">
        <v>921</v>
      </c>
      <c r="H10" s="29" t="s">
        <v>260</v>
      </c>
      <c r="I10" s="29"/>
      <c r="J10" s="29" t="s">
        <v>84</v>
      </c>
      <c r="K10" s="30" t="s">
        <v>547</v>
      </c>
    </row>
    <row r="11" spans="1:11" ht="14.4" customHeight="1" x14ac:dyDescent="0.3">
      <c r="A11" s="62">
        <v>7</v>
      </c>
      <c r="B11" s="63" t="s">
        <v>220</v>
      </c>
      <c r="C11" s="26" t="s">
        <v>261</v>
      </c>
      <c r="D11" s="28" t="s">
        <v>263</v>
      </c>
      <c r="E11" s="25" t="s">
        <v>923</v>
      </c>
      <c r="F11" s="25"/>
      <c r="G11" s="25" t="s">
        <v>921</v>
      </c>
      <c r="H11" s="26" t="s">
        <v>266</v>
      </c>
      <c r="I11" s="26"/>
      <c r="J11" s="26" t="s">
        <v>925</v>
      </c>
      <c r="K11" s="25" t="s">
        <v>924</v>
      </c>
    </row>
    <row r="12" spans="1:11" ht="14.4" customHeight="1" x14ac:dyDescent="0.3">
      <c r="A12" s="64">
        <v>8</v>
      </c>
      <c r="B12" s="65" t="s">
        <v>220</v>
      </c>
      <c r="C12" s="29" t="s">
        <v>268</v>
      </c>
      <c r="D12" s="33" t="s">
        <v>270</v>
      </c>
      <c r="E12" s="30" t="s">
        <v>926</v>
      </c>
      <c r="F12" s="30"/>
      <c r="G12" s="30" t="s">
        <v>921</v>
      </c>
      <c r="H12" s="29" t="s">
        <v>273</v>
      </c>
      <c r="I12" s="29"/>
      <c r="J12" s="29" t="s">
        <v>150</v>
      </c>
      <c r="K12" s="30" t="s">
        <v>924</v>
      </c>
    </row>
    <row r="13" spans="1:11" ht="14.4" customHeight="1" x14ac:dyDescent="0.3">
      <c r="A13" s="62">
        <v>9</v>
      </c>
      <c r="B13" s="63" t="s">
        <v>220</v>
      </c>
      <c r="C13" s="26" t="s">
        <v>275</v>
      </c>
      <c r="D13" s="32" t="s">
        <v>196</v>
      </c>
      <c r="E13" s="25" t="s">
        <v>21</v>
      </c>
      <c r="F13" s="25"/>
      <c r="G13" s="25" t="s">
        <v>921</v>
      </c>
      <c r="H13" s="26" t="s">
        <v>278</v>
      </c>
      <c r="I13" s="26"/>
      <c r="J13" s="26" t="s">
        <v>150</v>
      </c>
      <c r="K13" s="25" t="s">
        <v>547</v>
      </c>
    </row>
    <row r="14" spans="1:11" ht="14.4" customHeight="1" x14ac:dyDescent="0.3">
      <c r="A14" s="64">
        <v>10</v>
      </c>
      <c r="B14" s="65" t="s">
        <v>220</v>
      </c>
      <c r="C14" s="29" t="s">
        <v>280</v>
      </c>
      <c r="D14" s="32" t="s">
        <v>196</v>
      </c>
      <c r="E14" s="30" t="s">
        <v>21</v>
      </c>
      <c r="F14" s="30"/>
      <c r="G14" s="30" t="s">
        <v>921</v>
      </c>
      <c r="H14" s="29" t="s">
        <v>282</v>
      </c>
      <c r="I14" s="29"/>
      <c r="J14" s="29" t="s">
        <v>150</v>
      </c>
      <c r="K14" s="30" t="s">
        <v>547</v>
      </c>
    </row>
    <row r="15" spans="1:11" ht="14.4" customHeight="1" x14ac:dyDescent="0.3">
      <c r="A15" s="62">
        <v>11</v>
      </c>
      <c r="B15" s="63" t="s">
        <v>220</v>
      </c>
      <c r="C15" s="26" t="s">
        <v>284</v>
      </c>
      <c r="D15" s="32" t="s">
        <v>196</v>
      </c>
      <c r="E15" s="25" t="s">
        <v>21</v>
      </c>
      <c r="F15" s="25"/>
      <c r="G15" s="25" t="s">
        <v>921</v>
      </c>
      <c r="H15" s="26" t="s">
        <v>286</v>
      </c>
      <c r="I15" s="26"/>
      <c r="J15" s="26" t="s">
        <v>150</v>
      </c>
      <c r="K15" s="25" t="s">
        <v>547</v>
      </c>
    </row>
    <row r="16" spans="1:11" ht="14.4" customHeight="1" x14ac:dyDescent="0.3">
      <c r="A16" s="64">
        <v>12</v>
      </c>
      <c r="B16" s="65" t="s">
        <v>220</v>
      </c>
      <c r="C16" s="29" t="s">
        <v>288</v>
      </c>
      <c r="D16" s="32" t="s">
        <v>196</v>
      </c>
      <c r="E16" s="30" t="s">
        <v>21</v>
      </c>
      <c r="F16" s="30"/>
      <c r="G16" s="30" t="s">
        <v>921</v>
      </c>
      <c r="H16" s="29" t="s">
        <v>290</v>
      </c>
      <c r="I16" s="29"/>
      <c r="J16" s="29" t="s">
        <v>150</v>
      </c>
      <c r="K16" s="30" t="s">
        <v>547</v>
      </c>
    </row>
    <row r="17" spans="1:11" ht="14.4" customHeight="1" x14ac:dyDescent="0.3">
      <c r="A17" s="62">
        <v>13</v>
      </c>
      <c r="B17" s="63" t="s">
        <v>220</v>
      </c>
      <c r="C17" s="26" t="s">
        <v>292</v>
      </c>
      <c r="D17" s="32" t="s">
        <v>196</v>
      </c>
      <c r="E17" s="25" t="s">
        <v>21</v>
      </c>
      <c r="F17" s="25"/>
      <c r="G17" s="25" t="s">
        <v>921</v>
      </c>
      <c r="H17" s="26" t="s">
        <v>294</v>
      </c>
      <c r="I17" s="26"/>
      <c r="J17" s="26" t="s">
        <v>925</v>
      </c>
      <c r="K17" s="25" t="s">
        <v>547</v>
      </c>
    </row>
    <row r="18" spans="1:11" ht="14.4" customHeight="1" x14ac:dyDescent="0.3">
      <c r="A18" s="64">
        <v>14</v>
      </c>
      <c r="B18" s="65" t="s">
        <v>220</v>
      </c>
      <c r="C18" s="29" t="s">
        <v>296</v>
      </c>
      <c r="D18" s="33" t="s">
        <v>297</v>
      </c>
      <c r="E18" s="30" t="s">
        <v>926</v>
      </c>
      <c r="F18" s="30"/>
      <c r="G18" s="30" t="s">
        <v>921</v>
      </c>
      <c r="H18" s="29" t="s">
        <v>300</v>
      </c>
      <c r="I18" s="29"/>
      <c r="J18" s="29" t="s">
        <v>922</v>
      </c>
      <c r="K18" s="30" t="s">
        <v>924</v>
      </c>
    </row>
    <row r="19" spans="1:11" ht="24" customHeight="1" x14ac:dyDescent="0.3">
      <c r="A19" s="62">
        <v>15</v>
      </c>
      <c r="B19" s="63" t="s">
        <v>220</v>
      </c>
      <c r="C19" s="26" t="s">
        <v>302</v>
      </c>
      <c r="D19" s="28" t="s">
        <v>202</v>
      </c>
      <c r="E19" s="25" t="s">
        <v>923</v>
      </c>
      <c r="F19" s="25"/>
      <c r="G19" s="25" t="s">
        <v>921</v>
      </c>
      <c r="H19" s="26" t="s">
        <v>306</v>
      </c>
      <c r="I19" s="26"/>
      <c r="J19" s="26" t="s">
        <v>150</v>
      </c>
      <c r="K19" s="25" t="s">
        <v>924</v>
      </c>
    </row>
    <row r="20" spans="1:11" ht="14.4" customHeight="1" x14ac:dyDescent="0.3">
      <c r="A20" s="64">
        <v>16</v>
      </c>
      <c r="B20" s="65" t="s">
        <v>220</v>
      </c>
      <c r="C20" s="29" t="s">
        <v>308</v>
      </c>
      <c r="D20" s="33" t="s">
        <v>309</v>
      </c>
      <c r="E20" s="30" t="s">
        <v>926</v>
      </c>
      <c r="F20" s="30"/>
      <c r="G20" s="30" t="s">
        <v>921</v>
      </c>
      <c r="H20" s="29" t="s">
        <v>290</v>
      </c>
      <c r="I20" s="29"/>
      <c r="J20" s="29" t="s">
        <v>150</v>
      </c>
      <c r="K20" s="30" t="s">
        <v>924</v>
      </c>
    </row>
    <row r="21" spans="1:11" ht="14.4" customHeight="1" x14ac:dyDescent="0.3">
      <c r="A21" s="62">
        <v>17</v>
      </c>
      <c r="B21" s="63" t="s">
        <v>220</v>
      </c>
      <c r="C21" s="26" t="s">
        <v>313</v>
      </c>
      <c r="D21" s="34" t="s">
        <v>315</v>
      </c>
      <c r="E21" s="25" t="s">
        <v>22</v>
      </c>
      <c r="F21" s="25"/>
      <c r="G21" s="25" t="s">
        <v>921</v>
      </c>
      <c r="H21" s="26" t="s">
        <v>318</v>
      </c>
      <c r="I21" s="26"/>
      <c r="J21" s="26" t="s">
        <v>150</v>
      </c>
      <c r="K21" s="25" t="s">
        <v>924</v>
      </c>
    </row>
    <row r="22" spans="1:11" ht="14.4" customHeight="1" x14ac:dyDescent="0.3">
      <c r="A22" s="64">
        <v>18</v>
      </c>
      <c r="B22" s="65" t="s">
        <v>220</v>
      </c>
      <c r="C22" s="29" t="s">
        <v>320</v>
      </c>
      <c r="D22" s="32" t="s">
        <v>196</v>
      </c>
      <c r="E22" s="30" t="s">
        <v>21</v>
      </c>
      <c r="F22" s="30"/>
      <c r="G22" s="30" t="s">
        <v>921</v>
      </c>
      <c r="H22" s="29" t="s">
        <v>323</v>
      </c>
      <c r="I22" s="29"/>
      <c r="J22" s="29" t="s">
        <v>925</v>
      </c>
      <c r="K22" s="30" t="s">
        <v>547</v>
      </c>
    </row>
    <row r="23" spans="1:11" ht="14.4" customHeight="1" x14ac:dyDescent="0.3">
      <c r="A23" s="62">
        <v>19</v>
      </c>
      <c r="B23" s="63" t="s">
        <v>220</v>
      </c>
      <c r="C23" s="26" t="s">
        <v>325</v>
      </c>
      <c r="D23" s="28" t="s">
        <v>326</v>
      </c>
      <c r="E23" s="25" t="s">
        <v>923</v>
      </c>
      <c r="F23" s="25"/>
      <c r="G23" s="25" t="s">
        <v>921</v>
      </c>
      <c r="H23" s="26" t="s">
        <v>329</v>
      </c>
      <c r="I23" s="26"/>
      <c r="J23" s="26" t="s">
        <v>925</v>
      </c>
      <c r="K23" s="25" t="s">
        <v>924</v>
      </c>
    </row>
    <row r="24" spans="1:11" ht="14.4" customHeight="1" x14ac:dyDescent="0.3">
      <c r="A24" s="64">
        <v>20</v>
      </c>
      <c r="B24" s="65" t="s">
        <v>220</v>
      </c>
      <c r="C24" s="29" t="s">
        <v>331</v>
      </c>
      <c r="D24" s="35" t="s">
        <v>332</v>
      </c>
      <c r="E24" s="30" t="s">
        <v>921</v>
      </c>
      <c r="F24" s="30"/>
      <c r="G24" s="30" t="s">
        <v>921</v>
      </c>
      <c r="H24" s="29" t="s">
        <v>333</v>
      </c>
      <c r="I24" s="29"/>
      <c r="J24" s="29" t="s">
        <v>150</v>
      </c>
      <c r="K24" s="30" t="s">
        <v>924</v>
      </c>
    </row>
    <row r="25" spans="1:11" ht="24" customHeight="1" x14ac:dyDescent="0.3">
      <c r="A25" s="62">
        <v>21</v>
      </c>
      <c r="B25" s="63" t="s">
        <v>220</v>
      </c>
      <c r="C25" s="26" t="s">
        <v>335</v>
      </c>
      <c r="D25" s="28" t="s">
        <v>337</v>
      </c>
      <c r="E25" s="25" t="s">
        <v>923</v>
      </c>
      <c r="F25" s="25"/>
      <c r="G25" s="25" t="s">
        <v>921</v>
      </c>
      <c r="H25" s="26" t="s">
        <v>340</v>
      </c>
      <c r="I25" s="26"/>
      <c r="J25" s="26" t="s">
        <v>150</v>
      </c>
      <c r="K25" s="25" t="s">
        <v>924</v>
      </c>
    </row>
    <row r="26" spans="1:11" ht="24" customHeight="1" x14ac:dyDescent="0.3">
      <c r="A26" s="64">
        <v>22</v>
      </c>
      <c r="B26" s="65" t="s">
        <v>220</v>
      </c>
      <c r="C26" s="29" t="s">
        <v>342</v>
      </c>
      <c r="D26" s="34" t="s">
        <v>201</v>
      </c>
      <c r="E26" s="30" t="s">
        <v>22</v>
      </c>
      <c r="F26" s="30"/>
      <c r="G26" s="30" t="s">
        <v>921</v>
      </c>
      <c r="H26" s="29" t="s">
        <v>346</v>
      </c>
      <c r="I26" s="29"/>
      <c r="J26" s="29" t="s">
        <v>150</v>
      </c>
      <c r="K26" s="30" t="s">
        <v>924</v>
      </c>
    </row>
    <row r="27" spans="1:11" ht="24" customHeight="1" x14ac:dyDescent="0.3">
      <c r="A27" s="62">
        <v>23</v>
      </c>
      <c r="B27" s="63" t="s">
        <v>220</v>
      </c>
      <c r="C27" s="26" t="s">
        <v>348</v>
      </c>
      <c r="D27" s="34" t="s">
        <v>350</v>
      </c>
      <c r="E27" s="25" t="s">
        <v>22</v>
      </c>
      <c r="F27" s="25"/>
      <c r="G27" s="25" t="s">
        <v>921</v>
      </c>
      <c r="H27" s="26" t="s">
        <v>353</v>
      </c>
      <c r="I27" s="26"/>
      <c r="J27" s="26" t="s">
        <v>110</v>
      </c>
      <c r="K27" s="25" t="s">
        <v>924</v>
      </c>
    </row>
    <row r="28" spans="1:11" ht="14.4" customHeight="1" x14ac:dyDescent="0.3">
      <c r="A28" s="64">
        <v>24</v>
      </c>
      <c r="B28" s="65" t="s">
        <v>220</v>
      </c>
      <c r="C28" s="29" t="s">
        <v>355</v>
      </c>
      <c r="D28" s="34" t="s">
        <v>357</v>
      </c>
      <c r="E28" s="30" t="s">
        <v>22</v>
      </c>
      <c r="F28" s="30"/>
      <c r="G28" s="30" t="s">
        <v>921</v>
      </c>
      <c r="H28" s="29" t="s">
        <v>360</v>
      </c>
      <c r="I28" s="29"/>
      <c r="J28" s="29" t="s">
        <v>150</v>
      </c>
      <c r="K28" s="30" t="s">
        <v>924</v>
      </c>
    </row>
    <row r="29" spans="1:11" ht="14.4" customHeight="1" x14ac:dyDescent="0.3">
      <c r="A29" s="62">
        <v>25</v>
      </c>
      <c r="B29" s="63" t="s">
        <v>220</v>
      </c>
      <c r="C29" s="26" t="s">
        <v>362</v>
      </c>
      <c r="D29" s="34" t="s">
        <v>363</v>
      </c>
      <c r="E29" s="25" t="s">
        <v>22</v>
      </c>
      <c r="F29" s="25"/>
      <c r="G29" s="25" t="s">
        <v>921</v>
      </c>
      <c r="H29" s="26" t="s">
        <v>365</v>
      </c>
      <c r="I29" s="26"/>
      <c r="J29" s="26" t="s">
        <v>150</v>
      </c>
      <c r="K29" s="25" t="s">
        <v>924</v>
      </c>
    </row>
    <row r="30" spans="1:11" ht="14.4" customHeight="1" x14ac:dyDescent="0.3">
      <c r="A30" s="64">
        <v>26</v>
      </c>
      <c r="B30" s="65" t="s">
        <v>220</v>
      </c>
      <c r="C30" s="29" t="s">
        <v>367</v>
      </c>
      <c r="D30" s="35" t="s">
        <v>332</v>
      </c>
      <c r="E30" s="30" t="s">
        <v>921</v>
      </c>
      <c r="F30" s="30"/>
      <c r="G30" s="30" t="s">
        <v>921</v>
      </c>
      <c r="H30" s="29" t="s">
        <v>368</v>
      </c>
      <c r="I30" s="29"/>
      <c r="J30" s="29" t="s">
        <v>150</v>
      </c>
      <c r="K30" s="30" t="s">
        <v>924</v>
      </c>
    </row>
    <row r="31" spans="1:11" ht="14.4" customHeight="1" x14ac:dyDescent="0.3">
      <c r="A31" s="62">
        <v>27</v>
      </c>
      <c r="B31" s="63" t="s">
        <v>220</v>
      </c>
      <c r="C31" s="26" t="s">
        <v>370</v>
      </c>
      <c r="D31" s="33" t="s">
        <v>372</v>
      </c>
      <c r="E31" s="25" t="s">
        <v>926</v>
      </c>
      <c r="F31" s="25"/>
      <c r="G31" s="25" t="s">
        <v>921</v>
      </c>
      <c r="H31" s="26" t="s">
        <v>375</v>
      </c>
      <c r="I31" s="26"/>
      <c r="J31" s="26" t="s">
        <v>110</v>
      </c>
      <c r="K31" s="25" t="s">
        <v>924</v>
      </c>
    </row>
    <row r="32" spans="1:11" ht="14.4" customHeight="1" x14ac:dyDescent="0.3">
      <c r="A32" s="64">
        <v>28</v>
      </c>
      <c r="B32" s="65" t="s">
        <v>220</v>
      </c>
      <c r="C32" s="29" t="s">
        <v>377</v>
      </c>
      <c r="D32" s="35" t="s">
        <v>332</v>
      </c>
      <c r="E32" s="30" t="s">
        <v>921</v>
      </c>
      <c r="F32" s="30"/>
      <c r="G32" s="30" t="s">
        <v>921</v>
      </c>
      <c r="H32" s="29" t="s">
        <v>379</v>
      </c>
      <c r="I32" s="29"/>
      <c r="J32" s="29" t="s">
        <v>84</v>
      </c>
      <c r="K32" s="30" t="s">
        <v>924</v>
      </c>
    </row>
    <row r="33" spans="1:11" ht="14.4" customHeight="1" x14ac:dyDescent="0.3">
      <c r="A33" s="62">
        <v>29</v>
      </c>
      <c r="B33" s="63" t="s">
        <v>220</v>
      </c>
      <c r="C33" s="26" t="s">
        <v>381</v>
      </c>
      <c r="D33" s="33" t="s">
        <v>382</v>
      </c>
      <c r="E33" s="25" t="s">
        <v>926</v>
      </c>
      <c r="F33" s="25"/>
      <c r="G33" s="25" t="s">
        <v>921</v>
      </c>
      <c r="H33" s="26" t="s">
        <v>385</v>
      </c>
      <c r="I33" s="26"/>
      <c r="J33" s="26" t="s">
        <v>84</v>
      </c>
      <c r="K33" s="25" t="s">
        <v>924</v>
      </c>
    </row>
    <row r="34" spans="1:11" ht="14.4" customHeight="1" x14ac:dyDescent="0.3">
      <c r="A34" s="64">
        <v>30</v>
      </c>
      <c r="B34" s="65" t="s">
        <v>33</v>
      </c>
      <c r="C34" s="29" t="s">
        <v>387</v>
      </c>
      <c r="D34" s="32" t="s">
        <v>196</v>
      </c>
      <c r="E34" s="30" t="s">
        <v>21</v>
      </c>
      <c r="F34" s="30"/>
      <c r="G34" s="30" t="s">
        <v>921</v>
      </c>
      <c r="H34" s="29"/>
      <c r="I34" s="29" t="s">
        <v>389</v>
      </c>
      <c r="J34" s="29" t="s">
        <v>927</v>
      </c>
      <c r="K34" s="30" t="s">
        <v>547</v>
      </c>
    </row>
    <row r="35" spans="1:11" ht="24" customHeight="1" x14ac:dyDescent="0.3">
      <c r="A35" s="62">
        <v>31</v>
      </c>
      <c r="B35" s="63" t="s">
        <v>33</v>
      </c>
      <c r="C35" s="26" t="s">
        <v>391</v>
      </c>
      <c r="D35" s="32" t="s">
        <v>196</v>
      </c>
      <c r="E35" s="25" t="s">
        <v>21</v>
      </c>
      <c r="F35" s="25"/>
      <c r="G35" s="25" t="s">
        <v>921</v>
      </c>
      <c r="H35" s="26" t="s">
        <v>394</v>
      </c>
      <c r="I35" s="26" t="s">
        <v>395</v>
      </c>
      <c r="J35" s="26" t="s">
        <v>84</v>
      </c>
      <c r="K35" s="25" t="s">
        <v>547</v>
      </c>
    </row>
    <row r="36" spans="1:11" ht="14.4" customHeight="1" x14ac:dyDescent="0.3">
      <c r="A36" s="64">
        <v>32</v>
      </c>
      <c r="B36" s="65" t="s">
        <v>33</v>
      </c>
      <c r="C36" s="29" t="s">
        <v>396</v>
      </c>
      <c r="D36" s="28" t="s">
        <v>397</v>
      </c>
      <c r="E36" s="30" t="s">
        <v>401</v>
      </c>
      <c r="F36" s="30" t="s">
        <v>401</v>
      </c>
      <c r="G36" s="30" t="s">
        <v>401</v>
      </c>
      <c r="H36" s="29" t="s">
        <v>399</v>
      </c>
      <c r="I36" s="29" t="s">
        <v>400</v>
      </c>
      <c r="J36" s="29" t="s">
        <v>84</v>
      </c>
      <c r="K36" s="30" t="s">
        <v>401</v>
      </c>
    </row>
    <row r="37" spans="1:11" ht="14.4" customHeight="1" x14ac:dyDescent="0.3">
      <c r="A37" s="62">
        <v>33</v>
      </c>
      <c r="B37" s="63" t="s">
        <v>33</v>
      </c>
      <c r="C37" s="26" t="s">
        <v>404</v>
      </c>
      <c r="D37" s="28" t="s">
        <v>185</v>
      </c>
      <c r="E37" s="25" t="s">
        <v>407</v>
      </c>
      <c r="F37" s="25" t="s">
        <v>407</v>
      </c>
      <c r="G37" s="25" t="s">
        <v>407</v>
      </c>
      <c r="H37" s="26" t="s">
        <v>405</v>
      </c>
      <c r="I37" s="26" t="s">
        <v>406</v>
      </c>
      <c r="J37" s="26" t="s">
        <v>84</v>
      </c>
      <c r="K37" s="25" t="s">
        <v>407</v>
      </c>
    </row>
    <row r="38" spans="1:11" ht="24" customHeight="1" x14ac:dyDescent="0.3">
      <c r="A38" s="64">
        <v>34</v>
      </c>
      <c r="B38" s="65" t="s">
        <v>62</v>
      </c>
      <c r="C38" s="29" t="s">
        <v>409</v>
      </c>
      <c r="D38" s="34" t="s">
        <v>411</v>
      </c>
      <c r="E38" s="30" t="s">
        <v>22</v>
      </c>
      <c r="F38" s="30" t="s">
        <v>415</v>
      </c>
      <c r="G38" s="30" t="s">
        <v>415</v>
      </c>
      <c r="H38" s="29" t="s">
        <v>414</v>
      </c>
      <c r="I38" s="29"/>
      <c r="J38" s="29" t="s">
        <v>922</v>
      </c>
      <c r="K38" s="30" t="s">
        <v>415</v>
      </c>
    </row>
    <row r="39" spans="1:11" ht="14.4" customHeight="1" x14ac:dyDescent="0.3">
      <c r="A39" s="62">
        <v>35</v>
      </c>
      <c r="B39" s="63" t="s">
        <v>62</v>
      </c>
      <c r="C39" s="26" t="s">
        <v>418</v>
      </c>
      <c r="D39" s="32" t="s">
        <v>420</v>
      </c>
      <c r="E39" s="25" t="s">
        <v>21</v>
      </c>
      <c r="F39" s="25"/>
      <c r="G39" s="25" t="s">
        <v>921</v>
      </c>
      <c r="H39" s="26" t="s">
        <v>423</v>
      </c>
      <c r="I39" s="26" t="s">
        <v>424</v>
      </c>
      <c r="J39" s="26" t="s">
        <v>927</v>
      </c>
      <c r="K39" s="25" t="s">
        <v>547</v>
      </c>
    </row>
    <row r="40" spans="1:11" ht="14.4" customHeight="1" x14ac:dyDescent="0.3">
      <c r="A40" s="64">
        <v>36</v>
      </c>
      <c r="B40" s="65" t="s">
        <v>62</v>
      </c>
      <c r="C40" s="29" t="s">
        <v>427</v>
      </c>
      <c r="D40" s="34" t="s">
        <v>429</v>
      </c>
      <c r="E40" s="30" t="s">
        <v>22</v>
      </c>
      <c r="F40" s="30" t="s">
        <v>433</v>
      </c>
      <c r="G40" s="30" t="s">
        <v>433</v>
      </c>
      <c r="H40" s="29" t="s">
        <v>431</v>
      </c>
      <c r="I40" s="29" t="s">
        <v>432</v>
      </c>
      <c r="J40" s="29" t="s">
        <v>925</v>
      </c>
      <c r="K40" s="30" t="s">
        <v>433</v>
      </c>
    </row>
    <row r="41" spans="1:11" ht="24" customHeight="1" x14ac:dyDescent="0.3">
      <c r="A41" s="62">
        <v>37</v>
      </c>
      <c r="B41" s="63" t="s">
        <v>62</v>
      </c>
      <c r="C41" s="26" t="s">
        <v>436</v>
      </c>
      <c r="D41" s="28" t="s">
        <v>233</v>
      </c>
      <c r="E41" s="25" t="s">
        <v>439</v>
      </c>
      <c r="F41" s="25" t="s">
        <v>439</v>
      </c>
      <c r="G41" s="25" t="s">
        <v>439</v>
      </c>
      <c r="H41" s="26" t="s">
        <v>414</v>
      </c>
      <c r="I41" s="26"/>
      <c r="J41" s="26" t="s">
        <v>922</v>
      </c>
      <c r="K41" s="25" t="s">
        <v>439</v>
      </c>
    </row>
    <row r="42" spans="1:11" ht="24" customHeight="1" x14ac:dyDescent="0.3">
      <c r="A42" s="64">
        <v>38</v>
      </c>
      <c r="B42" s="65" t="s">
        <v>62</v>
      </c>
      <c r="C42" s="29" t="s">
        <v>441</v>
      </c>
      <c r="D42" s="28" t="s">
        <v>429</v>
      </c>
      <c r="E42" s="30" t="s">
        <v>442</v>
      </c>
      <c r="F42" s="30" t="s">
        <v>442</v>
      </c>
      <c r="G42" s="30" t="s">
        <v>442</v>
      </c>
      <c r="H42" s="29" t="s">
        <v>414</v>
      </c>
      <c r="I42" s="29"/>
      <c r="J42" s="29" t="s">
        <v>922</v>
      </c>
      <c r="K42" s="30" t="s">
        <v>442</v>
      </c>
    </row>
    <row r="43" spans="1:11" ht="14.4" customHeight="1" x14ac:dyDescent="0.3">
      <c r="A43" s="62">
        <v>39</v>
      </c>
      <c r="B43" s="63" t="s">
        <v>62</v>
      </c>
      <c r="C43" s="26" t="s">
        <v>444</v>
      </c>
      <c r="D43" s="32" t="s">
        <v>420</v>
      </c>
      <c r="E43" s="25" t="s">
        <v>21</v>
      </c>
      <c r="F43" s="25" t="s">
        <v>232</v>
      </c>
      <c r="G43" s="25" t="s">
        <v>232</v>
      </c>
      <c r="H43" s="26" t="s">
        <v>447</v>
      </c>
      <c r="I43" s="26"/>
      <c r="J43" s="26" t="s">
        <v>150</v>
      </c>
      <c r="K43" s="25" t="s">
        <v>547</v>
      </c>
    </row>
    <row r="44" spans="1:11" ht="14.4" customHeight="1" x14ac:dyDescent="0.3">
      <c r="A44" s="64">
        <v>40</v>
      </c>
      <c r="B44" s="65" t="s">
        <v>62</v>
      </c>
      <c r="C44" s="29" t="s">
        <v>450</v>
      </c>
      <c r="D44" s="32" t="s">
        <v>223</v>
      </c>
      <c r="E44" s="30" t="s">
        <v>21</v>
      </c>
      <c r="F44" s="30" t="s">
        <v>451</v>
      </c>
      <c r="G44" s="30" t="s">
        <v>451</v>
      </c>
      <c r="H44" s="29" t="s">
        <v>447</v>
      </c>
      <c r="I44" s="29"/>
      <c r="J44" s="29" t="s">
        <v>150</v>
      </c>
      <c r="K44" s="30" t="s">
        <v>547</v>
      </c>
    </row>
    <row r="45" spans="1:11" ht="14.4" customHeight="1" x14ac:dyDescent="0.3">
      <c r="A45" s="62">
        <v>41</v>
      </c>
      <c r="B45" s="63" t="s">
        <v>62</v>
      </c>
      <c r="C45" s="26" t="s">
        <v>453</v>
      </c>
      <c r="D45" s="32"/>
      <c r="E45" s="25" t="s">
        <v>21</v>
      </c>
      <c r="F45" s="25" t="s">
        <v>232</v>
      </c>
      <c r="G45" s="25" t="s">
        <v>232</v>
      </c>
      <c r="H45" s="26" t="s">
        <v>454</v>
      </c>
      <c r="I45" s="26"/>
      <c r="J45" s="26" t="s">
        <v>150</v>
      </c>
      <c r="K45" s="25" t="s">
        <v>547</v>
      </c>
    </row>
    <row r="46" spans="1:11" ht="14.4" customHeight="1" x14ac:dyDescent="0.3">
      <c r="A46" s="64">
        <v>42</v>
      </c>
      <c r="B46" s="65" t="s">
        <v>62</v>
      </c>
      <c r="C46" s="29" t="s">
        <v>456</v>
      </c>
      <c r="D46" s="32"/>
      <c r="E46" s="30" t="s">
        <v>21</v>
      </c>
      <c r="F46" s="30" t="s">
        <v>232</v>
      </c>
      <c r="G46" s="30" t="s">
        <v>232</v>
      </c>
      <c r="H46" s="29" t="s">
        <v>454</v>
      </c>
      <c r="I46" s="29"/>
      <c r="J46" s="29" t="s">
        <v>150</v>
      </c>
      <c r="K46" s="30" t="s">
        <v>547</v>
      </c>
    </row>
    <row r="47" spans="1:11" ht="24" customHeight="1" x14ac:dyDescent="0.3">
      <c r="A47" s="62">
        <v>43</v>
      </c>
      <c r="B47" s="63" t="s">
        <v>62</v>
      </c>
      <c r="C47" s="26" t="s">
        <v>458</v>
      </c>
      <c r="D47" s="34" t="s">
        <v>459</v>
      </c>
      <c r="E47" s="25" t="s">
        <v>22</v>
      </c>
      <c r="F47" s="25" t="s">
        <v>461</v>
      </c>
      <c r="G47" s="25" t="s">
        <v>461</v>
      </c>
      <c r="H47" s="26" t="s">
        <v>414</v>
      </c>
      <c r="I47" s="26"/>
      <c r="J47" s="26" t="s">
        <v>922</v>
      </c>
      <c r="K47" s="25" t="s">
        <v>461</v>
      </c>
    </row>
    <row r="48" spans="1:11" ht="24" customHeight="1" x14ac:dyDescent="0.3">
      <c r="A48" s="64">
        <v>44</v>
      </c>
      <c r="B48" s="65" t="s">
        <v>62</v>
      </c>
      <c r="C48" s="29" t="s">
        <v>463</v>
      </c>
      <c r="D48" s="34" t="s">
        <v>459</v>
      </c>
      <c r="E48" s="30" t="s">
        <v>22</v>
      </c>
      <c r="F48" s="30" t="s">
        <v>464</v>
      </c>
      <c r="G48" s="30" t="s">
        <v>464</v>
      </c>
      <c r="H48" s="29" t="s">
        <v>414</v>
      </c>
      <c r="I48" s="29"/>
      <c r="J48" s="29" t="s">
        <v>922</v>
      </c>
      <c r="K48" s="30" t="s">
        <v>464</v>
      </c>
    </row>
    <row r="49" spans="1:11" ht="24" customHeight="1" x14ac:dyDescent="0.3">
      <c r="A49" s="62">
        <v>45</v>
      </c>
      <c r="B49" s="63" t="s">
        <v>62</v>
      </c>
      <c r="C49" s="26" t="s">
        <v>466</v>
      </c>
      <c r="D49" s="28" t="s">
        <v>468</v>
      </c>
      <c r="E49" s="25" t="s">
        <v>923</v>
      </c>
      <c r="F49" s="25"/>
      <c r="G49" s="25" t="s">
        <v>921</v>
      </c>
      <c r="H49" s="26" t="s">
        <v>414</v>
      </c>
      <c r="I49" s="26"/>
      <c r="J49" s="26" t="s">
        <v>922</v>
      </c>
      <c r="K49" s="25" t="s">
        <v>924</v>
      </c>
    </row>
    <row r="50" spans="1:11" ht="24" customHeight="1" x14ac:dyDescent="0.3">
      <c r="A50" s="64">
        <v>46</v>
      </c>
      <c r="B50" s="65" t="s">
        <v>62</v>
      </c>
      <c r="C50" s="29" t="s">
        <v>469</v>
      </c>
      <c r="D50" s="35" t="s">
        <v>332</v>
      </c>
      <c r="E50" s="30" t="s">
        <v>470</v>
      </c>
      <c r="F50" s="30" t="s">
        <v>470</v>
      </c>
      <c r="G50" s="30" t="s">
        <v>470</v>
      </c>
      <c r="H50" s="29" t="s">
        <v>414</v>
      </c>
      <c r="I50" s="29"/>
      <c r="J50" s="29" t="s">
        <v>922</v>
      </c>
      <c r="K50" s="30" t="s">
        <v>470</v>
      </c>
    </row>
    <row r="51" spans="1:11" ht="24" customHeight="1" x14ac:dyDescent="0.3">
      <c r="A51" s="62">
        <v>47</v>
      </c>
      <c r="B51" s="63" t="s">
        <v>29</v>
      </c>
      <c r="C51" s="26" t="s">
        <v>472</v>
      </c>
      <c r="D51" s="34" t="s">
        <v>185</v>
      </c>
      <c r="E51" s="25" t="s">
        <v>22</v>
      </c>
      <c r="F51" s="25" t="s">
        <v>477</v>
      </c>
      <c r="G51" s="25" t="s">
        <v>477</v>
      </c>
      <c r="H51" s="26" t="s">
        <v>475</v>
      </c>
      <c r="I51" s="26" t="s">
        <v>476</v>
      </c>
      <c r="J51" s="26" t="s">
        <v>922</v>
      </c>
      <c r="K51" s="25" t="s">
        <v>477</v>
      </c>
    </row>
    <row r="52" spans="1:11" ht="14.4" customHeight="1" x14ac:dyDescent="0.3">
      <c r="A52" s="64">
        <v>48</v>
      </c>
      <c r="B52" s="65" t="s">
        <v>29</v>
      </c>
      <c r="C52" s="29" t="s">
        <v>480</v>
      </c>
      <c r="D52" s="28" t="s">
        <v>233</v>
      </c>
      <c r="E52" s="30" t="s">
        <v>477</v>
      </c>
      <c r="F52" s="30" t="s">
        <v>477</v>
      </c>
      <c r="G52" s="30" t="s">
        <v>477</v>
      </c>
      <c r="H52" s="29" t="s">
        <v>481</v>
      </c>
      <c r="I52" s="29" t="s">
        <v>482</v>
      </c>
      <c r="J52" s="29" t="s">
        <v>922</v>
      </c>
      <c r="K52" s="30" t="s">
        <v>477</v>
      </c>
    </row>
    <row r="53" spans="1:11" ht="14.4" customHeight="1" x14ac:dyDescent="0.3">
      <c r="A53" s="62">
        <v>49</v>
      </c>
      <c r="B53" s="63" t="s">
        <v>29</v>
      </c>
      <c r="C53" s="26" t="s">
        <v>485</v>
      </c>
      <c r="D53" s="28" t="s">
        <v>233</v>
      </c>
      <c r="E53" s="25" t="s">
        <v>490</v>
      </c>
      <c r="F53" s="25" t="s">
        <v>490</v>
      </c>
      <c r="G53" s="25" t="s">
        <v>490</v>
      </c>
      <c r="H53" s="26" t="s">
        <v>488</v>
      </c>
      <c r="I53" s="26" t="s">
        <v>489</v>
      </c>
      <c r="J53" s="26" t="s">
        <v>922</v>
      </c>
      <c r="K53" s="25" t="s">
        <v>490</v>
      </c>
    </row>
    <row r="54" spans="1:11" ht="14.4" customHeight="1" x14ac:dyDescent="0.3">
      <c r="A54" s="64">
        <v>50</v>
      </c>
      <c r="B54" s="65" t="s">
        <v>29</v>
      </c>
      <c r="C54" s="29" t="s">
        <v>492</v>
      </c>
      <c r="D54" s="32" t="s">
        <v>196</v>
      </c>
      <c r="E54" s="30" t="s">
        <v>21</v>
      </c>
      <c r="F54" s="30"/>
      <c r="G54" s="30" t="s">
        <v>921</v>
      </c>
      <c r="H54" s="29" t="s">
        <v>493</v>
      </c>
      <c r="I54" s="29"/>
      <c r="J54" s="29" t="s">
        <v>150</v>
      </c>
      <c r="K54" s="30" t="s">
        <v>547</v>
      </c>
    </row>
    <row r="55" spans="1:11" ht="14.4" customHeight="1" x14ac:dyDescent="0.3">
      <c r="A55" s="62">
        <v>51</v>
      </c>
      <c r="B55" s="63" t="s">
        <v>29</v>
      </c>
      <c r="C55" s="26" t="s">
        <v>495</v>
      </c>
      <c r="D55" s="32" t="s">
        <v>196</v>
      </c>
      <c r="E55" s="25" t="s">
        <v>21</v>
      </c>
      <c r="F55" s="25"/>
      <c r="G55" s="25" t="s">
        <v>921</v>
      </c>
      <c r="H55" s="26" t="s">
        <v>493</v>
      </c>
      <c r="I55" s="26"/>
      <c r="J55" s="26" t="s">
        <v>150</v>
      </c>
      <c r="K55" s="25" t="s">
        <v>547</v>
      </c>
    </row>
    <row r="56" spans="1:11" ht="14.4" customHeight="1" x14ac:dyDescent="0.3">
      <c r="A56" s="64">
        <v>52</v>
      </c>
      <c r="B56" s="65" t="s">
        <v>29</v>
      </c>
      <c r="C56" s="29" t="s">
        <v>497</v>
      </c>
      <c r="D56" s="32" t="s">
        <v>196</v>
      </c>
      <c r="E56" s="30" t="s">
        <v>21</v>
      </c>
      <c r="F56" s="30"/>
      <c r="G56" s="30" t="s">
        <v>921</v>
      </c>
      <c r="H56" s="29" t="s">
        <v>493</v>
      </c>
      <c r="I56" s="29"/>
      <c r="J56" s="29" t="s">
        <v>150</v>
      </c>
      <c r="K56" s="30" t="s">
        <v>547</v>
      </c>
    </row>
    <row r="57" spans="1:11" ht="14.4" customHeight="1" x14ac:dyDescent="0.3">
      <c r="A57" s="62">
        <v>53</v>
      </c>
      <c r="B57" s="63" t="s">
        <v>29</v>
      </c>
      <c r="C57" s="26" t="s">
        <v>499</v>
      </c>
      <c r="D57" s="32" t="s">
        <v>196</v>
      </c>
      <c r="E57" s="25" t="s">
        <v>21</v>
      </c>
      <c r="F57" s="25"/>
      <c r="G57" s="25" t="s">
        <v>921</v>
      </c>
      <c r="H57" s="26" t="s">
        <v>493</v>
      </c>
      <c r="I57" s="26"/>
      <c r="J57" s="26" t="s">
        <v>150</v>
      </c>
      <c r="K57" s="25" t="s">
        <v>547</v>
      </c>
    </row>
    <row r="58" spans="1:11" ht="14.4" customHeight="1" x14ac:dyDescent="0.3">
      <c r="A58" s="64">
        <v>54</v>
      </c>
      <c r="B58" s="65" t="s">
        <v>29</v>
      </c>
      <c r="C58" s="29" t="s">
        <v>502</v>
      </c>
      <c r="D58" s="32" t="s">
        <v>196</v>
      </c>
      <c r="E58" s="30" t="s">
        <v>21</v>
      </c>
      <c r="F58" s="30"/>
      <c r="G58" s="30" t="s">
        <v>921</v>
      </c>
      <c r="H58" s="29" t="s">
        <v>493</v>
      </c>
      <c r="I58" s="29"/>
      <c r="J58" s="29" t="s">
        <v>150</v>
      </c>
      <c r="K58" s="30" t="s">
        <v>547</v>
      </c>
    </row>
    <row r="59" spans="1:11" ht="14.4" customHeight="1" x14ac:dyDescent="0.3">
      <c r="A59" s="62">
        <v>55</v>
      </c>
      <c r="B59" s="63" t="s">
        <v>47</v>
      </c>
      <c r="C59" s="26" t="s">
        <v>504</v>
      </c>
      <c r="D59" s="28" t="s">
        <v>202</v>
      </c>
      <c r="E59" s="25" t="s">
        <v>923</v>
      </c>
      <c r="F59" s="25"/>
      <c r="G59" s="25" t="s">
        <v>921</v>
      </c>
      <c r="H59" s="26" t="s">
        <v>506</v>
      </c>
      <c r="I59" s="26"/>
      <c r="J59" s="26" t="s">
        <v>150</v>
      </c>
      <c r="K59" s="25" t="s">
        <v>924</v>
      </c>
    </row>
    <row r="60" spans="1:11" ht="14.4" customHeight="1" x14ac:dyDescent="0.3">
      <c r="A60" s="64">
        <v>56</v>
      </c>
      <c r="B60" s="65" t="s">
        <v>47</v>
      </c>
      <c r="C60" s="29" t="s">
        <v>509</v>
      </c>
      <c r="D60" s="32" t="s">
        <v>196</v>
      </c>
      <c r="E60" s="30" t="s">
        <v>21</v>
      </c>
      <c r="F60" s="30"/>
      <c r="G60" s="30" t="s">
        <v>921</v>
      </c>
      <c r="H60" s="29"/>
      <c r="I60" s="29"/>
      <c r="J60" s="29" t="s">
        <v>150</v>
      </c>
      <c r="K60" s="30" t="s">
        <v>547</v>
      </c>
    </row>
    <row r="61" spans="1:11" ht="14.4" customHeight="1" x14ac:dyDescent="0.3">
      <c r="A61" s="62">
        <v>57</v>
      </c>
      <c r="B61" s="63" t="s">
        <v>47</v>
      </c>
      <c r="C61" s="26" t="s">
        <v>513</v>
      </c>
      <c r="D61" s="34" t="s">
        <v>397</v>
      </c>
      <c r="E61" s="25" t="s">
        <v>22</v>
      </c>
      <c r="F61" s="25"/>
      <c r="G61" s="25" t="s">
        <v>921</v>
      </c>
      <c r="H61" s="26" t="s">
        <v>399</v>
      </c>
      <c r="I61" s="26" t="s">
        <v>515</v>
      </c>
      <c r="J61" s="26" t="s">
        <v>84</v>
      </c>
      <c r="K61" s="25" t="s">
        <v>924</v>
      </c>
    </row>
    <row r="62" spans="1:11" ht="14.4" customHeight="1" x14ac:dyDescent="0.3">
      <c r="A62" s="64">
        <v>58</v>
      </c>
      <c r="B62" s="65" t="s">
        <v>59</v>
      </c>
      <c r="C62" s="29" t="s">
        <v>518</v>
      </c>
      <c r="D62" s="34" t="s">
        <v>186</v>
      </c>
      <c r="E62" s="30" t="s">
        <v>22</v>
      </c>
      <c r="F62" s="30"/>
      <c r="G62" s="30" t="s">
        <v>921</v>
      </c>
      <c r="H62" s="29" t="s">
        <v>481</v>
      </c>
      <c r="I62" s="29" t="s">
        <v>482</v>
      </c>
      <c r="J62" s="29" t="s">
        <v>922</v>
      </c>
      <c r="K62" s="30" t="s">
        <v>924</v>
      </c>
    </row>
    <row r="63" spans="1:11" ht="14.4" customHeight="1" x14ac:dyDescent="0.3">
      <c r="A63" s="62">
        <v>59</v>
      </c>
      <c r="B63" s="63" t="s">
        <v>59</v>
      </c>
      <c r="C63" s="26" t="s">
        <v>522</v>
      </c>
      <c r="D63" s="34" t="s">
        <v>382</v>
      </c>
      <c r="E63" s="25" t="s">
        <v>22</v>
      </c>
      <c r="F63" s="25"/>
      <c r="G63" s="25" t="s">
        <v>921</v>
      </c>
      <c r="H63" s="26" t="s">
        <v>523</v>
      </c>
      <c r="I63" s="26"/>
      <c r="J63" s="26" t="s">
        <v>922</v>
      </c>
      <c r="K63" s="25" t="s">
        <v>924</v>
      </c>
    </row>
    <row r="64" spans="1:11" ht="14.4" customHeight="1" x14ac:dyDescent="0.3">
      <c r="A64" s="64">
        <v>60</v>
      </c>
      <c r="B64" s="65" t="s">
        <v>59</v>
      </c>
      <c r="C64" s="29" t="s">
        <v>526</v>
      </c>
      <c r="D64" s="28" t="s">
        <v>186</v>
      </c>
      <c r="E64" s="30" t="s">
        <v>923</v>
      </c>
      <c r="F64" s="30"/>
      <c r="G64" s="30" t="s">
        <v>921</v>
      </c>
      <c r="H64" s="29" t="s">
        <v>527</v>
      </c>
      <c r="I64" s="29"/>
      <c r="J64" s="29" t="s">
        <v>150</v>
      </c>
      <c r="K64" s="30" t="s">
        <v>924</v>
      </c>
    </row>
    <row r="65" spans="1:11" ht="36" customHeight="1" x14ac:dyDescent="0.3">
      <c r="A65" s="62">
        <v>61</v>
      </c>
      <c r="B65" s="63" t="s">
        <v>64</v>
      </c>
      <c r="C65" s="26" t="s">
        <v>529</v>
      </c>
      <c r="D65" s="34" t="s">
        <v>411</v>
      </c>
      <c r="E65" s="25" t="s">
        <v>22</v>
      </c>
      <c r="F65" s="25" t="s">
        <v>535</v>
      </c>
      <c r="G65" s="25" t="s">
        <v>535</v>
      </c>
      <c r="H65" s="26" t="s">
        <v>533</v>
      </c>
      <c r="I65" s="26" t="s">
        <v>534</v>
      </c>
      <c r="J65" s="26" t="s">
        <v>84</v>
      </c>
      <c r="K65" s="25" t="s">
        <v>535</v>
      </c>
    </row>
    <row r="66" spans="1:11" ht="14.4" customHeight="1" x14ac:dyDescent="0.3">
      <c r="A66" s="64">
        <v>62</v>
      </c>
      <c r="B66" s="65" t="s">
        <v>64</v>
      </c>
      <c r="C66" s="29" t="s">
        <v>538</v>
      </c>
      <c r="D66" s="66"/>
      <c r="E66" s="30" t="s">
        <v>22</v>
      </c>
      <c r="F66" s="30"/>
      <c r="G66" s="30" t="s">
        <v>921</v>
      </c>
      <c r="H66" s="29"/>
      <c r="I66" s="29"/>
      <c r="J66" s="29" t="s">
        <v>150</v>
      </c>
      <c r="K66" s="30" t="s">
        <v>924</v>
      </c>
    </row>
    <row r="67" spans="1:11" ht="24" customHeight="1" x14ac:dyDescent="0.3">
      <c r="A67" s="62">
        <v>63</v>
      </c>
      <c r="B67" s="63" t="s">
        <v>64</v>
      </c>
      <c r="C67" s="26" t="s">
        <v>540</v>
      </c>
      <c r="D67" s="34" t="s">
        <v>429</v>
      </c>
      <c r="E67" s="25" t="s">
        <v>22</v>
      </c>
      <c r="F67" s="25" t="s">
        <v>407</v>
      </c>
      <c r="G67" s="25" t="s">
        <v>407</v>
      </c>
      <c r="H67" s="26" t="s">
        <v>542</v>
      </c>
      <c r="I67" s="26" t="s">
        <v>543</v>
      </c>
      <c r="J67" s="26" t="s">
        <v>84</v>
      </c>
      <c r="K67" s="25" t="s">
        <v>407</v>
      </c>
    </row>
    <row r="68" spans="1:11" ht="24" customHeight="1" x14ac:dyDescent="0.3">
      <c r="A68" s="64">
        <v>64</v>
      </c>
      <c r="B68" s="65" t="s">
        <v>64</v>
      </c>
      <c r="C68" s="29" t="s">
        <v>546</v>
      </c>
      <c r="D68" s="32" t="s">
        <v>196</v>
      </c>
      <c r="E68" s="30" t="s">
        <v>21</v>
      </c>
      <c r="F68" s="30"/>
      <c r="G68" s="30" t="s">
        <v>921</v>
      </c>
      <c r="H68" s="29"/>
      <c r="I68" s="29"/>
      <c r="J68" s="29" t="s">
        <v>150</v>
      </c>
      <c r="K68" s="30" t="s">
        <v>547</v>
      </c>
    </row>
    <row r="69" spans="1:11" ht="14.4" customHeight="1" x14ac:dyDescent="0.3">
      <c r="A69" s="62">
        <v>65</v>
      </c>
      <c r="B69" s="63" t="s">
        <v>45</v>
      </c>
      <c r="C69" s="26" t="s">
        <v>549</v>
      </c>
      <c r="D69" s="32" t="s">
        <v>196</v>
      </c>
      <c r="E69" s="25" t="s">
        <v>21</v>
      </c>
      <c r="F69" s="25"/>
      <c r="G69" s="25" t="s">
        <v>921</v>
      </c>
      <c r="H69" s="26"/>
      <c r="I69" s="26"/>
      <c r="J69" s="26" t="s">
        <v>150</v>
      </c>
      <c r="K69" s="25" t="s">
        <v>547</v>
      </c>
    </row>
    <row r="70" spans="1:11" ht="24" customHeight="1" x14ac:dyDescent="0.3">
      <c r="A70" s="64">
        <v>66</v>
      </c>
      <c r="B70" s="65" t="s">
        <v>45</v>
      </c>
      <c r="C70" s="29" t="s">
        <v>552</v>
      </c>
      <c r="D70" s="34" t="s">
        <v>468</v>
      </c>
      <c r="E70" s="30" t="s">
        <v>22</v>
      </c>
      <c r="F70" s="30" t="s">
        <v>401</v>
      </c>
      <c r="G70" s="30" t="s">
        <v>401</v>
      </c>
      <c r="H70" s="29" t="s">
        <v>554</v>
      </c>
      <c r="I70" s="29" t="s">
        <v>555</v>
      </c>
      <c r="J70" s="29" t="s">
        <v>84</v>
      </c>
      <c r="K70" s="30" t="s">
        <v>401</v>
      </c>
    </row>
    <row r="71" spans="1:11" ht="24" customHeight="1" x14ac:dyDescent="0.3">
      <c r="A71" s="62">
        <v>67</v>
      </c>
      <c r="B71" s="63" t="s">
        <v>45</v>
      </c>
      <c r="C71" s="26" t="s">
        <v>558</v>
      </c>
      <c r="D71" s="28" t="s">
        <v>559</v>
      </c>
      <c r="E71" s="25" t="s">
        <v>923</v>
      </c>
      <c r="F71" s="25"/>
      <c r="G71" s="25" t="s">
        <v>921</v>
      </c>
      <c r="H71" s="26" t="s">
        <v>561</v>
      </c>
      <c r="I71" s="26" t="s">
        <v>562</v>
      </c>
      <c r="J71" s="26" t="s">
        <v>136</v>
      </c>
      <c r="K71" s="25" t="s">
        <v>924</v>
      </c>
    </row>
    <row r="72" spans="1:11" ht="14.4" customHeight="1" x14ac:dyDescent="0.3">
      <c r="A72" s="64">
        <v>68</v>
      </c>
      <c r="B72" s="65" t="s">
        <v>31</v>
      </c>
      <c r="C72" s="29" t="s">
        <v>565</v>
      </c>
      <c r="D72" s="34" t="s">
        <v>223</v>
      </c>
      <c r="E72" s="30" t="s">
        <v>22</v>
      </c>
      <c r="F72" s="30"/>
      <c r="G72" s="30" t="s">
        <v>921</v>
      </c>
      <c r="H72" s="29" t="s">
        <v>570</v>
      </c>
      <c r="I72" s="29" t="s">
        <v>571</v>
      </c>
      <c r="J72" s="29" t="s">
        <v>927</v>
      </c>
      <c r="K72" s="30" t="s">
        <v>924</v>
      </c>
    </row>
    <row r="73" spans="1:11" ht="14.4" customHeight="1" x14ac:dyDescent="0.3">
      <c r="A73" s="62">
        <v>69</v>
      </c>
      <c r="B73" s="63" t="s">
        <v>31</v>
      </c>
      <c r="C73" s="26" t="s">
        <v>574</v>
      </c>
      <c r="D73" s="67"/>
      <c r="E73" s="25" t="s">
        <v>22</v>
      </c>
      <c r="F73" s="25"/>
      <c r="G73" s="25" t="s">
        <v>921</v>
      </c>
      <c r="H73" s="26"/>
      <c r="I73" s="26"/>
      <c r="J73" s="26" t="s">
        <v>150</v>
      </c>
      <c r="K73" s="25" t="s">
        <v>924</v>
      </c>
    </row>
    <row r="74" spans="1:11" ht="36" customHeight="1" x14ac:dyDescent="0.3">
      <c r="A74" s="64">
        <v>70</v>
      </c>
      <c r="B74" s="65" t="s">
        <v>61</v>
      </c>
      <c r="C74" s="29" t="s">
        <v>579</v>
      </c>
      <c r="D74" s="34" t="s">
        <v>411</v>
      </c>
      <c r="E74" s="30" t="s">
        <v>22</v>
      </c>
      <c r="F74" s="30" t="s">
        <v>585</v>
      </c>
      <c r="G74" s="30" t="s">
        <v>585</v>
      </c>
      <c r="H74" s="29" t="s">
        <v>583</v>
      </c>
      <c r="I74" s="29" t="s">
        <v>584</v>
      </c>
      <c r="J74" s="29" t="s">
        <v>84</v>
      </c>
      <c r="K74" s="30" t="s">
        <v>585</v>
      </c>
    </row>
    <row r="75" spans="1:11" ht="24" customHeight="1" x14ac:dyDescent="0.3">
      <c r="A75" s="62">
        <v>71</v>
      </c>
      <c r="B75" s="63" t="s">
        <v>61</v>
      </c>
      <c r="C75" s="26" t="s">
        <v>588</v>
      </c>
      <c r="D75" s="34" t="s">
        <v>186</v>
      </c>
      <c r="E75" s="25" t="s">
        <v>22</v>
      </c>
      <c r="F75" s="25" t="s">
        <v>407</v>
      </c>
      <c r="G75" s="25" t="s">
        <v>407</v>
      </c>
      <c r="H75" s="26" t="s">
        <v>591</v>
      </c>
      <c r="I75" s="26" t="s">
        <v>385</v>
      </c>
      <c r="J75" s="26" t="s">
        <v>84</v>
      </c>
      <c r="K75" s="25" t="s">
        <v>407</v>
      </c>
    </row>
    <row r="76" spans="1:11" ht="14.4" customHeight="1" x14ac:dyDescent="0.3">
      <c r="A76" s="64">
        <v>72</v>
      </c>
      <c r="B76" s="65" t="s">
        <v>57</v>
      </c>
      <c r="C76" s="29" t="s">
        <v>594</v>
      </c>
      <c r="D76" s="34" t="s">
        <v>223</v>
      </c>
      <c r="E76" s="30" t="s">
        <v>22</v>
      </c>
      <c r="F76" s="30"/>
      <c r="G76" s="30" t="s">
        <v>921</v>
      </c>
      <c r="H76" s="29" t="s">
        <v>597</v>
      </c>
      <c r="I76" s="29" t="s">
        <v>598</v>
      </c>
      <c r="J76" s="29" t="s">
        <v>84</v>
      </c>
      <c r="K76" s="30" t="s">
        <v>928</v>
      </c>
    </row>
    <row r="77" spans="1:11" ht="14.4" customHeight="1" x14ac:dyDescent="0.3">
      <c r="A77" s="62">
        <v>73</v>
      </c>
      <c r="B77" s="63" t="s">
        <v>57</v>
      </c>
      <c r="C77" s="26" t="s">
        <v>601</v>
      </c>
      <c r="D77" s="32" t="s">
        <v>196</v>
      </c>
      <c r="E77" s="25" t="s">
        <v>21</v>
      </c>
      <c r="F77" s="25"/>
      <c r="G77" s="25" t="s">
        <v>921</v>
      </c>
      <c r="H77" s="26" t="s">
        <v>602</v>
      </c>
      <c r="I77" s="26"/>
      <c r="J77" s="26" t="s">
        <v>84</v>
      </c>
      <c r="K77" s="25" t="s">
        <v>547</v>
      </c>
    </row>
    <row r="78" spans="1:11" ht="14.4" customHeight="1" x14ac:dyDescent="0.3">
      <c r="A78" s="64">
        <v>74</v>
      </c>
      <c r="B78" s="65" t="s">
        <v>57</v>
      </c>
      <c r="C78" s="29" t="s">
        <v>604</v>
      </c>
      <c r="D78" s="34" t="s">
        <v>233</v>
      </c>
      <c r="E78" s="30" t="s">
        <v>22</v>
      </c>
      <c r="F78" s="30"/>
      <c r="G78" s="30" t="s">
        <v>921</v>
      </c>
      <c r="H78" s="29" t="s">
        <v>609</v>
      </c>
      <c r="I78" s="29"/>
      <c r="J78" s="29" t="s">
        <v>84</v>
      </c>
      <c r="K78" s="30" t="s">
        <v>924</v>
      </c>
    </row>
    <row r="79" spans="1:11" ht="14.4" customHeight="1" x14ac:dyDescent="0.3">
      <c r="A79" s="62">
        <v>75</v>
      </c>
      <c r="B79" s="63" t="s">
        <v>57</v>
      </c>
      <c r="C79" s="26" t="s">
        <v>611</v>
      </c>
      <c r="D79" s="32" t="s">
        <v>196</v>
      </c>
      <c r="E79" s="25" t="s">
        <v>21</v>
      </c>
      <c r="F79" s="25"/>
      <c r="G79" s="25" t="s">
        <v>921</v>
      </c>
      <c r="H79" s="26" t="s">
        <v>602</v>
      </c>
      <c r="I79" s="26"/>
      <c r="J79" s="26" t="s">
        <v>84</v>
      </c>
      <c r="K79" s="25" t="s">
        <v>547</v>
      </c>
    </row>
    <row r="80" spans="1:11" ht="14.4" customHeight="1" x14ac:dyDescent="0.3">
      <c r="A80" s="64">
        <v>76</v>
      </c>
      <c r="B80" s="65" t="s">
        <v>57</v>
      </c>
      <c r="C80" s="29" t="s">
        <v>616</v>
      </c>
      <c r="D80" s="34" t="s">
        <v>233</v>
      </c>
      <c r="E80" s="30" t="s">
        <v>22</v>
      </c>
      <c r="F80" s="30"/>
      <c r="G80" s="30" t="s">
        <v>921</v>
      </c>
      <c r="H80" s="29" t="s">
        <v>602</v>
      </c>
      <c r="I80" s="29"/>
      <c r="J80" s="29" t="s">
        <v>84</v>
      </c>
      <c r="K80" s="30" t="s">
        <v>924</v>
      </c>
    </row>
    <row r="81" spans="1:11" ht="14.4" customHeight="1" x14ac:dyDescent="0.3">
      <c r="A81" s="62">
        <v>77</v>
      </c>
      <c r="B81" s="63" t="s">
        <v>57</v>
      </c>
      <c r="C81" s="26" t="s">
        <v>621</v>
      </c>
      <c r="D81" s="32" t="s">
        <v>196</v>
      </c>
      <c r="E81" s="25" t="s">
        <v>21</v>
      </c>
      <c r="F81" s="25"/>
      <c r="G81" s="25" t="s">
        <v>921</v>
      </c>
      <c r="H81" s="26" t="s">
        <v>609</v>
      </c>
      <c r="I81" s="26"/>
      <c r="J81" s="26" t="s">
        <v>84</v>
      </c>
      <c r="K81" s="25" t="s">
        <v>547</v>
      </c>
    </row>
    <row r="82" spans="1:11" ht="14.4" customHeight="1" x14ac:dyDescent="0.3">
      <c r="A82" s="64">
        <v>78</v>
      </c>
      <c r="B82" s="65" t="s">
        <v>57</v>
      </c>
      <c r="C82" s="29" t="s">
        <v>624</v>
      </c>
      <c r="D82" s="32" t="s">
        <v>196</v>
      </c>
      <c r="E82" s="30" t="s">
        <v>21</v>
      </c>
      <c r="F82" s="30"/>
      <c r="G82" s="30" t="s">
        <v>921</v>
      </c>
      <c r="H82" s="29" t="s">
        <v>609</v>
      </c>
      <c r="I82" s="29"/>
      <c r="J82" s="29" t="s">
        <v>84</v>
      </c>
      <c r="K82" s="30" t="s">
        <v>547</v>
      </c>
    </row>
    <row r="83" spans="1:11" ht="14.4" customHeight="1" x14ac:dyDescent="0.3">
      <c r="A83" s="62">
        <v>79</v>
      </c>
      <c r="B83" s="63" t="s">
        <v>57</v>
      </c>
      <c r="C83" s="26" t="s">
        <v>626</v>
      </c>
      <c r="D83" s="32" t="s">
        <v>196</v>
      </c>
      <c r="E83" s="25" t="s">
        <v>21</v>
      </c>
      <c r="F83" s="25"/>
      <c r="G83" s="25" t="s">
        <v>921</v>
      </c>
      <c r="H83" s="26" t="s">
        <v>602</v>
      </c>
      <c r="I83" s="26"/>
      <c r="J83" s="26" t="s">
        <v>84</v>
      </c>
      <c r="K83" s="25" t="s">
        <v>547</v>
      </c>
    </row>
    <row r="84" spans="1:11" ht="14.4" customHeight="1" x14ac:dyDescent="0.3">
      <c r="A84" s="64">
        <v>80</v>
      </c>
      <c r="B84" s="65" t="s">
        <v>57</v>
      </c>
      <c r="C84" s="29" t="s">
        <v>628</v>
      </c>
      <c r="D84" s="32" t="s">
        <v>196</v>
      </c>
      <c r="E84" s="30" t="s">
        <v>21</v>
      </c>
      <c r="F84" s="30"/>
      <c r="G84" s="30" t="s">
        <v>921</v>
      </c>
      <c r="H84" s="29" t="s">
        <v>602</v>
      </c>
      <c r="I84" s="29"/>
      <c r="J84" s="29" t="s">
        <v>84</v>
      </c>
      <c r="K84" s="30" t="s">
        <v>547</v>
      </c>
    </row>
    <row r="85" spans="1:11" ht="14.4" customHeight="1" x14ac:dyDescent="0.3">
      <c r="A85" s="62">
        <v>81</v>
      </c>
      <c r="B85" s="63" t="s">
        <v>57</v>
      </c>
      <c r="C85" s="26" t="s">
        <v>630</v>
      </c>
      <c r="D85" s="28" t="s">
        <v>223</v>
      </c>
      <c r="E85" s="25" t="s">
        <v>923</v>
      </c>
      <c r="F85" s="25"/>
      <c r="G85" s="25" t="s">
        <v>921</v>
      </c>
      <c r="H85" s="26" t="s">
        <v>602</v>
      </c>
      <c r="I85" s="26"/>
      <c r="J85" s="26" t="s">
        <v>84</v>
      </c>
      <c r="K85" s="25" t="s">
        <v>924</v>
      </c>
    </row>
    <row r="86" spans="1:11" ht="14.4" customHeight="1" x14ac:dyDescent="0.3">
      <c r="A86" s="64">
        <v>82</v>
      </c>
      <c r="B86" s="65" t="s">
        <v>57</v>
      </c>
      <c r="C86" s="29" t="s">
        <v>633</v>
      </c>
      <c r="D86" s="28" t="s">
        <v>635</v>
      </c>
      <c r="E86" s="30" t="s">
        <v>923</v>
      </c>
      <c r="F86" s="30"/>
      <c r="G86" s="30" t="s">
        <v>921</v>
      </c>
      <c r="H86" s="29" t="s">
        <v>602</v>
      </c>
      <c r="I86" s="29"/>
      <c r="J86" s="29" t="s">
        <v>84</v>
      </c>
      <c r="K86" s="30" t="s">
        <v>924</v>
      </c>
    </row>
    <row r="87" spans="1:11" ht="14.4" customHeight="1" x14ac:dyDescent="0.3">
      <c r="A87" s="62">
        <v>83</v>
      </c>
      <c r="B87" s="63" t="s">
        <v>57</v>
      </c>
      <c r="C87" s="26" t="s">
        <v>638</v>
      </c>
      <c r="D87" s="35" t="s">
        <v>332</v>
      </c>
      <c r="E87" s="25" t="s">
        <v>921</v>
      </c>
      <c r="F87" s="25"/>
      <c r="G87" s="25" t="s">
        <v>921</v>
      </c>
      <c r="H87" s="26" t="s">
        <v>602</v>
      </c>
      <c r="I87" s="26"/>
      <c r="J87" s="26" t="s">
        <v>84</v>
      </c>
      <c r="K87" s="25" t="s">
        <v>924</v>
      </c>
    </row>
    <row r="88" spans="1:11" ht="14.4" customHeight="1" x14ac:dyDescent="0.3">
      <c r="A88" s="64">
        <v>84</v>
      </c>
      <c r="B88" s="65" t="s">
        <v>41</v>
      </c>
      <c r="C88" s="29" t="s">
        <v>641</v>
      </c>
      <c r="D88" s="32" t="s">
        <v>196</v>
      </c>
      <c r="E88" s="30" t="s">
        <v>21</v>
      </c>
      <c r="F88" s="30"/>
      <c r="G88" s="30" t="s">
        <v>921</v>
      </c>
      <c r="H88" s="29"/>
      <c r="I88" s="29"/>
      <c r="J88" s="29" t="s">
        <v>150</v>
      </c>
      <c r="K88" s="30" t="s">
        <v>547</v>
      </c>
    </row>
    <row r="89" spans="1:11" ht="14.4" customHeight="1" x14ac:dyDescent="0.3">
      <c r="A89" s="62">
        <v>85</v>
      </c>
      <c r="B89" s="63" t="s">
        <v>41</v>
      </c>
      <c r="C89" s="26" t="s">
        <v>644</v>
      </c>
      <c r="D89" s="32" t="s">
        <v>196</v>
      </c>
      <c r="E89" s="25" t="s">
        <v>21</v>
      </c>
      <c r="F89" s="25"/>
      <c r="G89" s="25" t="s">
        <v>921</v>
      </c>
      <c r="H89" s="26"/>
      <c r="I89" s="26"/>
      <c r="J89" s="26" t="s">
        <v>150</v>
      </c>
      <c r="K89" s="25" t="s">
        <v>547</v>
      </c>
    </row>
    <row r="90" spans="1:11" ht="14.4" customHeight="1" x14ac:dyDescent="0.3">
      <c r="A90" s="64">
        <v>86</v>
      </c>
      <c r="B90" s="65" t="s">
        <v>41</v>
      </c>
      <c r="C90" s="29" t="s">
        <v>646</v>
      </c>
      <c r="D90" s="34" t="s">
        <v>233</v>
      </c>
      <c r="E90" s="30" t="s">
        <v>22</v>
      </c>
      <c r="F90" s="30" t="s">
        <v>650</v>
      </c>
      <c r="G90" s="30" t="s">
        <v>650</v>
      </c>
      <c r="H90" s="29" t="s">
        <v>649</v>
      </c>
      <c r="I90" s="29"/>
      <c r="J90" s="29" t="s">
        <v>84</v>
      </c>
      <c r="K90" s="30" t="s">
        <v>650</v>
      </c>
    </row>
    <row r="91" spans="1:11" ht="24" customHeight="1" x14ac:dyDescent="0.3">
      <c r="A91" s="62">
        <v>87</v>
      </c>
      <c r="B91" s="63" t="s">
        <v>41</v>
      </c>
      <c r="C91" s="26" t="s">
        <v>653</v>
      </c>
      <c r="D91" s="28" t="s">
        <v>655</v>
      </c>
      <c r="E91" s="25" t="s">
        <v>490</v>
      </c>
      <c r="F91" s="25" t="s">
        <v>490</v>
      </c>
      <c r="G91" s="25" t="s">
        <v>490</v>
      </c>
      <c r="H91" s="26" t="s">
        <v>656</v>
      </c>
      <c r="I91" s="26"/>
      <c r="J91" s="26" t="s">
        <v>84</v>
      </c>
      <c r="K91" s="25" t="s">
        <v>490</v>
      </c>
    </row>
    <row r="92" spans="1:11" ht="14.4" customHeight="1" x14ac:dyDescent="0.3">
      <c r="A92" s="64">
        <v>88</v>
      </c>
      <c r="B92" s="65" t="s">
        <v>41</v>
      </c>
      <c r="C92" s="29" t="s">
        <v>658</v>
      </c>
      <c r="D92" s="28" t="s">
        <v>185</v>
      </c>
      <c r="E92" s="30" t="s">
        <v>660</v>
      </c>
      <c r="F92" s="30" t="s">
        <v>660</v>
      </c>
      <c r="G92" s="30" t="s">
        <v>660</v>
      </c>
      <c r="H92" s="29" t="s">
        <v>659</v>
      </c>
      <c r="I92" s="29"/>
      <c r="J92" s="29" t="s">
        <v>150</v>
      </c>
      <c r="K92" s="30" t="s">
        <v>660</v>
      </c>
    </row>
    <row r="93" spans="1:11" ht="14.4" customHeight="1" x14ac:dyDescent="0.3">
      <c r="A93" s="62">
        <v>89</v>
      </c>
      <c r="B93" s="63" t="s">
        <v>41</v>
      </c>
      <c r="C93" s="26" t="s">
        <v>663</v>
      </c>
      <c r="D93" s="28" t="s">
        <v>337</v>
      </c>
      <c r="E93" s="25" t="s">
        <v>666</v>
      </c>
      <c r="F93" s="25" t="s">
        <v>666</v>
      </c>
      <c r="G93" s="25" t="s">
        <v>666</v>
      </c>
      <c r="H93" s="26" t="s">
        <v>665</v>
      </c>
      <c r="I93" s="26"/>
      <c r="J93" s="26" t="s">
        <v>84</v>
      </c>
      <c r="K93" s="25" t="s">
        <v>666</v>
      </c>
    </row>
    <row r="94" spans="1:11" ht="14.4" customHeight="1" x14ac:dyDescent="0.3">
      <c r="A94" s="64">
        <v>90</v>
      </c>
      <c r="B94" s="65" t="s">
        <v>669</v>
      </c>
      <c r="C94" s="29" t="s">
        <v>670</v>
      </c>
      <c r="D94" s="34" t="s">
        <v>468</v>
      </c>
      <c r="E94" s="30" t="s">
        <v>22</v>
      </c>
      <c r="F94" s="30" t="s">
        <v>675</v>
      </c>
      <c r="G94" s="30" t="s">
        <v>675</v>
      </c>
      <c r="H94" s="29" t="s">
        <v>673</v>
      </c>
      <c r="I94" s="29" t="s">
        <v>674</v>
      </c>
      <c r="J94" s="29" t="s">
        <v>84</v>
      </c>
      <c r="K94" s="30" t="s">
        <v>675</v>
      </c>
    </row>
    <row r="95" spans="1:11" ht="14.4" customHeight="1" x14ac:dyDescent="0.3">
      <c r="A95" s="62">
        <v>91</v>
      </c>
      <c r="B95" s="63" t="s">
        <v>669</v>
      </c>
      <c r="C95" s="26" t="s">
        <v>678</v>
      </c>
      <c r="D95" s="33" t="s">
        <v>185</v>
      </c>
      <c r="E95" s="25" t="s">
        <v>926</v>
      </c>
      <c r="F95" s="25" t="s">
        <v>680</v>
      </c>
      <c r="G95" s="25" t="s">
        <v>680</v>
      </c>
      <c r="H95" s="26" t="s">
        <v>679</v>
      </c>
      <c r="I95" s="26"/>
      <c r="J95" s="26" t="s">
        <v>922</v>
      </c>
      <c r="K95" s="25" t="s">
        <v>680</v>
      </c>
    </row>
    <row r="96" spans="1:11" ht="24" customHeight="1" x14ac:dyDescent="0.3">
      <c r="A96" s="64">
        <v>92</v>
      </c>
      <c r="B96" s="65" t="s">
        <v>669</v>
      </c>
      <c r="C96" s="29" t="s">
        <v>683</v>
      </c>
      <c r="D96" s="33" t="s">
        <v>684</v>
      </c>
      <c r="E96" s="30" t="s">
        <v>926</v>
      </c>
      <c r="F96" s="30" t="s">
        <v>685</v>
      </c>
      <c r="G96" s="30" t="s">
        <v>685</v>
      </c>
      <c r="H96" s="29" t="s">
        <v>399</v>
      </c>
      <c r="I96" s="29"/>
      <c r="J96" s="29" t="s">
        <v>84</v>
      </c>
      <c r="K96" s="30" t="s">
        <v>685</v>
      </c>
    </row>
    <row r="97" spans="1:11" ht="24" customHeight="1" x14ac:dyDescent="0.3">
      <c r="A97" s="62">
        <v>93</v>
      </c>
      <c r="B97" s="63" t="s">
        <v>27</v>
      </c>
      <c r="C97" s="26" t="s">
        <v>688</v>
      </c>
      <c r="D97" s="32" t="s">
        <v>196</v>
      </c>
      <c r="E97" s="25" t="s">
        <v>21</v>
      </c>
      <c r="F97" s="25"/>
      <c r="G97" s="25" t="s">
        <v>921</v>
      </c>
      <c r="H97" s="26"/>
      <c r="I97" s="26"/>
      <c r="J97" s="26" t="s">
        <v>150</v>
      </c>
      <c r="K97" s="25" t="s">
        <v>547</v>
      </c>
    </row>
    <row r="98" spans="1:11" ht="36" customHeight="1" x14ac:dyDescent="0.3">
      <c r="A98" s="64">
        <v>94</v>
      </c>
      <c r="B98" s="65" t="s">
        <v>27</v>
      </c>
      <c r="C98" s="29" t="s">
        <v>691</v>
      </c>
      <c r="D98" s="32" t="s">
        <v>429</v>
      </c>
      <c r="E98" s="30" t="s">
        <v>21</v>
      </c>
      <c r="F98" s="30"/>
      <c r="G98" s="30" t="s">
        <v>921</v>
      </c>
      <c r="H98" s="29"/>
      <c r="I98" s="29"/>
      <c r="J98" s="29" t="s">
        <v>150</v>
      </c>
      <c r="K98" s="30" t="s">
        <v>547</v>
      </c>
    </row>
    <row r="99" spans="1:11" ht="24" customHeight="1" x14ac:dyDescent="0.3">
      <c r="A99" s="62">
        <v>95</v>
      </c>
      <c r="B99" s="63" t="s">
        <v>27</v>
      </c>
      <c r="C99" s="26" t="s">
        <v>694</v>
      </c>
      <c r="D99" s="32" t="s">
        <v>196</v>
      </c>
      <c r="E99" s="25" t="s">
        <v>21</v>
      </c>
      <c r="F99" s="25"/>
      <c r="G99" s="25" t="s">
        <v>921</v>
      </c>
      <c r="H99" s="26"/>
      <c r="I99" s="26"/>
      <c r="J99" s="26" t="s">
        <v>150</v>
      </c>
      <c r="K99" s="25" t="s">
        <v>547</v>
      </c>
    </row>
    <row r="100" spans="1:11" ht="14.4" customHeight="1" x14ac:dyDescent="0.3">
      <c r="A100" s="64">
        <v>96</v>
      </c>
      <c r="B100" s="65" t="s">
        <v>27</v>
      </c>
      <c r="C100" s="29" t="s">
        <v>697</v>
      </c>
      <c r="D100" s="32" t="s">
        <v>196</v>
      </c>
      <c r="E100" s="30" t="s">
        <v>21</v>
      </c>
      <c r="F100" s="30"/>
      <c r="G100" s="30" t="s">
        <v>921</v>
      </c>
      <c r="H100" s="29"/>
      <c r="I100" s="29"/>
      <c r="J100" s="29" t="s">
        <v>150</v>
      </c>
      <c r="K100" s="30" t="s">
        <v>547</v>
      </c>
    </row>
    <row r="101" spans="1:11" ht="14.4" customHeight="1" x14ac:dyDescent="0.3">
      <c r="A101" s="62">
        <v>97</v>
      </c>
      <c r="B101" s="63" t="s">
        <v>27</v>
      </c>
      <c r="C101" s="26" t="s">
        <v>699</v>
      </c>
      <c r="D101" s="28" t="s">
        <v>382</v>
      </c>
      <c r="E101" s="25" t="s">
        <v>923</v>
      </c>
      <c r="F101" s="25"/>
      <c r="G101" s="25" t="s">
        <v>921</v>
      </c>
      <c r="H101" s="26"/>
      <c r="I101" s="26"/>
      <c r="J101" s="26" t="s">
        <v>150</v>
      </c>
      <c r="K101" s="25" t="s">
        <v>924</v>
      </c>
    </row>
    <row r="102" spans="1:11" ht="14.4" customHeight="1" x14ac:dyDescent="0.3">
      <c r="A102" s="64">
        <v>98</v>
      </c>
      <c r="B102" s="65" t="s">
        <v>35</v>
      </c>
      <c r="C102" s="29" t="s">
        <v>703</v>
      </c>
      <c r="D102" s="34" t="s">
        <v>185</v>
      </c>
      <c r="E102" s="30" t="s">
        <v>22</v>
      </c>
      <c r="F102" s="30"/>
      <c r="G102" s="30" t="s">
        <v>921</v>
      </c>
      <c r="H102" s="29" t="s">
        <v>706</v>
      </c>
      <c r="I102" s="29" t="s">
        <v>707</v>
      </c>
      <c r="J102" s="29" t="s">
        <v>110</v>
      </c>
      <c r="K102" s="30" t="s">
        <v>924</v>
      </c>
    </row>
    <row r="103" spans="1:11" ht="14.4" customHeight="1" x14ac:dyDescent="0.3">
      <c r="A103" s="62">
        <v>99</v>
      </c>
      <c r="B103" s="63" t="s">
        <v>55</v>
      </c>
      <c r="C103" s="26" t="s">
        <v>710</v>
      </c>
      <c r="D103" s="34" t="s">
        <v>411</v>
      </c>
      <c r="E103" s="25" t="s">
        <v>22</v>
      </c>
      <c r="F103" s="25" t="s">
        <v>715</v>
      </c>
      <c r="G103" s="25" t="s">
        <v>715</v>
      </c>
      <c r="H103" s="26" t="s">
        <v>713</v>
      </c>
      <c r="I103" s="26" t="s">
        <v>714</v>
      </c>
      <c r="J103" s="26" t="s">
        <v>922</v>
      </c>
      <c r="K103" s="25" t="s">
        <v>715</v>
      </c>
    </row>
    <row r="104" spans="1:11" ht="14.4" customHeight="1" x14ac:dyDescent="0.3">
      <c r="A104" s="64">
        <v>100</v>
      </c>
      <c r="B104" s="65" t="s">
        <v>51</v>
      </c>
      <c r="C104" s="29" t="s">
        <v>718</v>
      </c>
      <c r="D104" s="34" t="s">
        <v>719</v>
      </c>
      <c r="E104" s="30" t="s">
        <v>22</v>
      </c>
      <c r="F104" s="30" t="s">
        <v>723</v>
      </c>
      <c r="G104" s="30" t="s">
        <v>723</v>
      </c>
      <c r="H104" s="29" t="s">
        <v>713</v>
      </c>
      <c r="I104" s="29" t="s">
        <v>722</v>
      </c>
      <c r="J104" s="29" t="s">
        <v>922</v>
      </c>
      <c r="K104" s="30" t="s">
        <v>723</v>
      </c>
    </row>
    <row r="105" spans="1:11" ht="14.4" customHeight="1" x14ac:dyDescent="0.3">
      <c r="A105" s="62">
        <v>101</v>
      </c>
      <c r="B105" s="63" t="s">
        <v>51</v>
      </c>
      <c r="C105" s="26" t="s">
        <v>726</v>
      </c>
      <c r="D105" s="34" t="s">
        <v>197</v>
      </c>
      <c r="E105" s="25" t="s">
        <v>22</v>
      </c>
      <c r="F105" s="25" t="s">
        <v>723</v>
      </c>
      <c r="G105" s="25" t="s">
        <v>723</v>
      </c>
      <c r="H105" s="26" t="s">
        <v>729</v>
      </c>
      <c r="I105" s="26" t="s">
        <v>730</v>
      </c>
      <c r="J105" s="26" t="s">
        <v>922</v>
      </c>
      <c r="K105" s="25" t="s">
        <v>723</v>
      </c>
    </row>
    <row r="106" spans="1:11" ht="14.4" customHeight="1" x14ac:dyDescent="0.3">
      <c r="A106" s="64">
        <v>102</v>
      </c>
      <c r="B106" s="65" t="s">
        <v>51</v>
      </c>
      <c r="C106" s="29" t="s">
        <v>733</v>
      </c>
      <c r="D106" s="34" t="s">
        <v>382</v>
      </c>
      <c r="E106" s="30" t="s">
        <v>22</v>
      </c>
      <c r="F106" s="30" t="s">
        <v>490</v>
      </c>
      <c r="G106" s="30" t="s">
        <v>490</v>
      </c>
      <c r="H106" s="29" t="s">
        <v>729</v>
      </c>
      <c r="I106" s="29" t="s">
        <v>730</v>
      </c>
      <c r="J106" s="29" t="s">
        <v>922</v>
      </c>
      <c r="K106" s="30" t="s">
        <v>490</v>
      </c>
    </row>
    <row r="107" spans="1:11" ht="14.4" customHeight="1" x14ac:dyDescent="0.3">
      <c r="A107" s="62">
        <v>103</v>
      </c>
      <c r="B107" s="63" t="s">
        <v>51</v>
      </c>
      <c r="C107" s="26" t="s">
        <v>738</v>
      </c>
      <c r="D107" s="35" t="s">
        <v>332</v>
      </c>
      <c r="E107" s="25" t="s">
        <v>490</v>
      </c>
      <c r="F107" s="25" t="s">
        <v>490</v>
      </c>
      <c r="G107" s="25" t="s">
        <v>490</v>
      </c>
      <c r="H107" s="26" t="s">
        <v>246</v>
      </c>
      <c r="I107" s="26" t="s">
        <v>730</v>
      </c>
      <c r="J107" s="26" t="s">
        <v>922</v>
      </c>
      <c r="K107" s="25" t="s">
        <v>490</v>
      </c>
    </row>
    <row r="108" spans="1:11" ht="14.4" customHeight="1" x14ac:dyDescent="0.3">
      <c r="A108" s="64">
        <v>104</v>
      </c>
      <c r="B108" s="65" t="s">
        <v>51</v>
      </c>
      <c r="C108" s="29" t="s">
        <v>741</v>
      </c>
      <c r="D108" s="35" t="s">
        <v>332</v>
      </c>
      <c r="E108" s="30" t="s">
        <v>490</v>
      </c>
      <c r="F108" s="30" t="s">
        <v>490</v>
      </c>
      <c r="G108" s="30" t="s">
        <v>490</v>
      </c>
      <c r="H108" s="29" t="s">
        <v>246</v>
      </c>
      <c r="I108" s="29" t="s">
        <v>730</v>
      </c>
      <c r="J108" s="29" t="s">
        <v>922</v>
      </c>
      <c r="K108" s="30" t="s">
        <v>490</v>
      </c>
    </row>
    <row r="109" spans="1:11" ht="14.4" customHeight="1" x14ac:dyDescent="0.3">
      <c r="A109" s="62">
        <v>105</v>
      </c>
      <c r="B109" s="63" t="s">
        <v>51</v>
      </c>
      <c r="C109" s="26" t="s">
        <v>744</v>
      </c>
      <c r="D109" s="35" t="s">
        <v>332</v>
      </c>
      <c r="E109" s="25" t="s">
        <v>490</v>
      </c>
      <c r="F109" s="25" t="s">
        <v>490</v>
      </c>
      <c r="G109" s="25" t="s">
        <v>490</v>
      </c>
      <c r="H109" s="26" t="s">
        <v>246</v>
      </c>
      <c r="I109" s="26" t="s">
        <v>730</v>
      </c>
      <c r="J109" s="26" t="s">
        <v>922</v>
      </c>
      <c r="K109" s="25" t="s">
        <v>490</v>
      </c>
    </row>
    <row r="110" spans="1:11" ht="24" customHeight="1" x14ac:dyDescent="0.3">
      <c r="A110" s="64">
        <v>106</v>
      </c>
      <c r="B110" s="65" t="s">
        <v>51</v>
      </c>
      <c r="C110" s="29" t="s">
        <v>747</v>
      </c>
      <c r="D110" s="28" t="s">
        <v>748</v>
      </c>
      <c r="E110" s="30" t="s">
        <v>490</v>
      </c>
      <c r="F110" s="30" t="s">
        <v>490</v>
      </c>
      <c r="G110" s="30" t="s">
        <v>490</v>
      </c>
      <c r="H110" s="29" t="s">
        <v>749</v>
      </c>
      <c r="I110" s="29" t="s">
        <v>750</v>
      </c>
      <c r="J110" s="29" t="s">
        <v>927</v>
      </c>
      <c r="K110" s="30" t="s">
        <v>490</v>
      </c>
    </row>
    <row r="111" spans="1:11" ht="14.4" customHeight="1" x14ac:dyDescent="0.3">
      <c r="A111" s="62">
        <v>107</v>
      </c>
      <c r="B111" s="63" t="s">
        <v>51</v>
      </c>
      <c r="C111" s="26" t="s">
        <v>753</v>
      </c>
      <c r="D111" s="35" t="s">
        <v>332</v>
      </c>
      <c r="E111" s="25" t="s">
        <v>921</v>
      </c>
      <c r="F111" s="25"/>
      <c r="G111" s="25" t="s">
        <v>921</v>
      </c>
      <c r="H111" s="26" t="s">
        <v>754</v>
      </c>
      <c r="I111" s="26" t="s">
        <v>755</v>
      </c>
      <c r="J111" s="26" t="s">
        <v>927</v>
      </c>
      <c r="K111" s="25" t="s">
        <v>924</v>
      </c>
    </row>
    <row r="112" spans="1:11" ht="14.4" customHeight="1" x14ac:dyDescent="0.3">
      <c r="A112" s="64">
        <v>108</v>
      </c>
      <c r="B112" s="65" t="s">
        <v>51</v>
      </c>
      <c r="C112" s="29" t="s">
        <v>758</v>
      </c>
      <c r="D112" s="35" t="s">
        <v>332</v>
      </c>
      <c r="E112" s="30" t="s">
        <v>490</v>
      </c>
      <c r="F112" s="30" t="s">
        <v>490</v>
      </c>
      <c r="G112" s="30" t="s">
        <v>490</v>
      </c>
      <c r="H112" s="29" t="s">
        <v>246</v>
      </c>
      <c r="I112" s="29" t="s">
        <v>730</v>
      </c>
      <c r="J112" s="29" t="s">
        <v>922</v>
      </c>
      <c r="K112" s="30" t="s">
        <v>490</v>
      </c>
    </row>
    <row r="113" spans="1:11" ht="14.4" customHeight="1" x14ac:dyDescent="0.3">
      <c r="A113" s="62">
        <v>109</v>
      </c>
      <c r="B113" s="63" t="s">
        <v>37</v>
      </c>
      <c r="C113" s="26" t="s">
        <v>760</v>
      </c>
      <c r="D113" s="34" t="s">
        <v>411</v>
      </c>
      <c r="E113" s="25" t="s">
        <v>22</v>
      </c>
      <c r="F113" s="25" t="s">
        <v>765</v>
      </c>
      <c r="G113" s="25" t="s">
        <v>765</v>
      </c>
      <c r="H113" s="26" t="s">
        <v>763</v>
      </c>
      <c r="I113" s="26" t="s">
        <v>764</v>
      </c>
      <c r="J113" s="26" t="s">
        <v>110</v>
      </c>
      <c r="K113" s="25" t="s">
        <v>765</v>
      </c>
    </row>
    <row r="114" spans="1:11" ht="14.4" customHeight="1" x14ac:dyDescent="0.3">
      <c r="A114" s="64">
        <v>110</v>
      </c>
      <c r="B114" s="65" t="s">
        <v>37</v>
      </c>
      <c r="C114" s="29" t="s">
        <v>768</v>
      </c>
      <c r="D114" s="34" t="s">
        <v>459</v>
      </c>
      <c r="E114" s="30" t="s">
        <v>22</v>
      </c>
      <c r="F114" s="30" t="s">
        <v>765</v>
      </c>
      <c r="G114" s="30" t="s">
        <v>765</v>
      </c>
      <c r="H114" s="29" t="s">
        <v>763</v>
      </c>
      <c r="I114" s="29" t="s">
        <v>764</v>
      </c>
      <c r="J114" s="29" t="s">
        <v>110</v>
      </c>
      <c r="K114" s="30" t="s">
        <v>765</v>
      </c>
    </row>
    <row r="115" spans="1:11" ht="72" customHeight="1" x14ac:dyDescent="0.3">
      <c r="A115" s="62">
        <v>111</v>
      </c>
      <c r="B115" s="63" t="s">
        <v>43</v>
      </c>
      <c r="C115" s="26" t="s">
        <v>773</v>
      </c>
      <c r="D115" s="32" t="s">
        <v>196</v>
      </c>
      <c r="E115" s="25" t="s">
        <v>21</v>
      </c>
      <c r="F115" s="25"/>
      <c r="G115" s="25" t="s">
        <v>921</v>
      </c>
      <c r="H115" s="26"/>
      <c r="I115" s="26"/>
      <c r="J115" s="26" t="s">
        <v>150</v>
      </c>
      <c r="K115" s="25" t="s">
        <v>547</v>
      </c>
    </row>
    <row r="116" spans="1:11" ht="72" customHeight="1" x14ac:dyDescent="0.3">
      <c r="A116" s="64">
        <v>112</v>
      </c>
      <c r="B116" s="65" t="s">
        <v>43</v>
      </c>
      <c r="C116" s="29" t="s">
        <v>777</v>
      </c>
      <c r="D116" s="32" t="s">
        <v>196</v>
      </c>
      <c r="E116" s="30" t="s">
        <v>21</v>
      </c>
      <c r="F116" s="30"/>
      <c r="G116" s="30" t="s">
        <v>921</v>
      </c>
      <c r="H116" s="29"/>
      <c r="I116" s="29"/>
      <c r="J116" s="29" t="s">
        <v>150</v>
      </c>
      <c r="K116" s="30" t="s">
        <v>547</v>
      </c>
    </row>
    <row r="117" spans="1:11" ht="48" customHeight="1" x14ac:dyDescent="0.3">
      <c r="A117" s="62">
        <v>113</v>
      </c>
      <c r="B117" s="63" t="s">
        <v>43</v>
      </c>
      <c r="C117" s="26" t="s">
        <v>779</v>
      </c>
      <c r="D117" s="32" t="s">
        <v>196</v>
      </c>
      <c r="E117" s="25" t="s">
        <v>21</v>
      </c>
      <c r="F117" s="25"/>
      <c r="G117" s="25" t="s">
        <v>921</v>
      </c>
      <c r="H117" s="26"/>
      <c r="I117" s="26"/>
      <c r="J117" s="26" t="s">
        <v>150</v>
      </c>
      <c r="K117" s="25" t="s">
        <v>547</v>
      </c>
    </row>
    <row r="118" spans="1:11" ht="14.4" customHeight="1" x14ac:dyDescent="0.3">
      <c r="A118" s="64">
        <v>114</v>
      </c>
      <c r="B118" s="65" t="s">
        <v>43</v>
      </c>
      <c r="C118" s="29" t="s">
        <v>782</v>
      </c>
      <c r="D118" s="32" t="s">
        <v>196</v>
      </c>
      <c r="E118" s="30" t="s">
        <v>21</v>
      </c>
      <c r="F118" s="30"/>
      <c r="G118" s="30" t="s">
        <v>921</v>
      </c>
      <c r="H118" s="29"/>
      <c r="I118" s="29"/>
      <c r="J118" s="29" t="s">
        <v>150</v>
      </c>
      <c r="K118" s="30" t="s">
        <v>547</v>
      </c>
    </row>
    <row r="119" spans="1:11" ht="60" customHeight="1" x14ac:dyDescent="0.3">
      <c r="A119" s="62">
        <v>115</v>
      </c>
      <c r="B119" s="63" t="s">
        <v>43</v>
      </c>
      <c r="C119" s="26" t="s">
        <v>785</v>
      </c>
      <c r="D119" s="32" t="s">
        <v>196</v>
      </c>
      <c r="E119" s="25" t="s">
        <v>21</v>
      </c>
      <c r="F119" s="25"/>
      <c r="G119" s="25" t="s">
        <v>921</v>
      </c>
      <c r="H119" s="26"/>
      <c r="I119" s="26"/>
      <c r="J119" s="26" t="s">
        <v>150</v>
      </c>
      <c r="K119" s="25" t="s">
        <v>547</v>
      </c>
    </row>
    <row r="120" spans="1:11" ht="14.4" customHeight="1" x14ac:dyDescent="0.3">
      <c r="A120" s="64">
        <v>116</v>
      </c>
      <c r="B120" s="65" t="s">
        <v>43</v>
      </c>
      <c r="C120" s="29" t="s">
        <v>788</v>
      </c>
      <c r="D120" s="28" t="s">
        <v>186</v>
      </c>
      <c r="E120" s="30" t="s">
        <v>789</v>
      </c>
      <c r="F120" s="30" t="s">
        <v>789</v>
      </c>
      <c r="G120" s="30" t="s">
        <v>789</v>
      </c>
      <c r="H120" s="29"/>
      <c r="I120" s="29" t="s">
        <v>407</v>
      </c>
      <c r="J120" s="29" t="s">
        <v>927</v>
      </c>
      <c r="K120" s="30" t="s">
        <v>789</v>
      </c>
    </row>
    <row r="121" spans="1:11" ht="14.4" customHeight="1" x14ac:dyDescent="0.3">
      <c r="A121" s="62">
        <v>117</v>
      </c>
      <c r="B121" s="63" t="s">
        <v>43</v>
      </c>
      <c r="C121" s="26" t="s">
        <v>792</v>
      </c>
      <c r="D121" s="28" t="s">
        <v>411</v>
      </c>
      <c r="E121" s="25" t="s">
        <v>789</v>
      </c>
      <c r="F121" s="25" t="s">
        <v>789</v>
      </c>
      <c r="G121" s="25" t="s">
        <v>789</v>
      </c>
      <c r="H121" s="26"/>
      <c r="I121" s="26" t="s">
        <v>401</v>
      </c>
      <c r="J121" s="26" t="s">
        <v>927</v>
      </c>
      <c r="K121" s="25" t="s">
        <v>789</v>
      </c>
    </row>
    <row r="122" spans="1:11" ht="14.4" customHeight="1" x14ac:dyDescent="0.3">
      <c r="A122" s="64">
        <v>118</v>
      </c>
      <c r="B122" s="65" t="s">
        <v>43</v>
      </c>
      <c r="C122" s="29" t="s">
        <v>794</v>
      </c>
      <c r="D122" s="32" t="s">
        <v>196</v>
      </c>
      <c r="E122" s="30" t="s">
        <v>21</v>
      </c>
      <c r="F122" s="30"/>
      <c r="G122" s="30" t="s">
        <v>921</v>
      </c>
      <c r="H122" s="29"/>
      <c r="I122" s="29"/>
      <c r="J122" s="29" t="s">
        <v>150</v>
      </c>
      <c r="K122" s="30" t="s">
        <v>547</v>
      </c>
    </row>
    <row r="123" spans="1:11" ht="24" customHeight="1" x14ac:dyDescent="0.3">
      <c r="A123" s="62">
        <v>119</v>
      </c>
      <c r="B123" s="63" t="s">
        <v>43</v>
      </c>
      <c r="C123" s="26" t="s">
        <v>796</v>
      </c>
      <c r="D123" s="32" t="s">
        <v>196</v>
      </c>
      <c r="E123" s="25" t="s">
        <v>21</v>
      </c>
      <c r="F123" s="25"/>
      <c r="G123" s="25" t="s">
        <v>921</v>
      </c>
      <c r="H123" s="26"/>
      <c r="I123" s="26"/>
      <c r="J123" s="26" t="s">
        <v>150</v>
      </c>
      <c r="K123" s="25" t="s">
        <v>547</v>
      </c>
    </row>
    <row r="124" spans="1:11" ht="14.4" customHeight="1" x14ac:dyDescent="0.3">
      <c r="A124" s="64">
        <v>120</v>
      </c>
      <c r="B124" s="65" t="s">
        <v>43</v>
      </c>
      <c r="C124" s="29" t="s">
        <v>798</v>
      </c>
      <c r="D124" s="32" t="s">
        <v>196</v>
      </c>
      <c r="E124" s="30" t="s">
        <v>21</v>
      </c>
      <c r="F124" s="30"/>
      <c r="G124" s="30" t="s">
        <v>921</v>
      </c>
      <c r="H124" s="29"/>
      <c r="I124" s="29"/>
      <c r="J124" s="29" t="s">
        <v>150</v>
      </c>
      <c r="K124" s="30" t="s">
        <v>547</v>
      </c>
    </row>
    <row r="125" spans="1:11" ht="24" customHeight="1" x14ac:dyDescent="0.3">
      <c r="A125" s="62">
        <v>121</v>
      </c>
      <c r="B125" s="63" t="s">
        <v>43</v>
      </c>
      <c r="C125" s="26" t="s">
        <v>800</v>
      </c>
      <c r="D125" s="32" t="s">
        <v>196</v>
      </c>
      <c r="E125" s="25" t="s">
        <v>21</v>
      </c>
      <c r="F125" s="25"/>
      <c r="G125" s="25" t="s">
        <v>921</v>
      </c>
      <c r="H125" s="26"/>
      <c r="I125" s="26"/>
      <c r="J125" s="26" t="s">
        <v>150</v>
      </c>
      <c r="K125" s="25" t="s">
        <v>547</v>
      </c>
    </row>
    <row r="126" spans="1:11" ht="14.4" customHeight="1" x14ac:dyDescent="0.3">
      <c r="A126" s="64">
        <v>122</v>
      </c>
      <c r="B126" s="65" t="s">
        <v>43</v>
      </c>
      <c r="C126" s="29" t="s">
        <v>802</v>
      </c>
      <c r="D126" s="28" t="s">
        <v>429</v>
      </c>
      <c r="E126" s="30" t="s">
        <v>789</v>
      </c>
      <c r="F126" s="30" t="s">
        <v>789</v>
      </c>
      <c r="G126" s="30" t="s">
        <v>789</v>
      </c>
      <c r="H126" s="29"/>
      <c r="I126" s="29" t="s">
        <v>803</v>
      </c>
      <c r="J126" s="29" t="s">
        <v>927</v>
      </c>
      <c r="K126" s="30" t="s">
        <v>789</v>
      </c>
    </row>
    <row r="127" spans="1:11" ht="24" customHeight="1" x14ac:dyDescent="0.3">
      <c r="A127" s="62">
        <v>123</v>
      </c>
      <c r="B127" s="63" t="s">
        <v>43</v>
      </c>
      <c r="C127" s="26" t="s">
        <v>805</v>
      </c>
      <c r="D127" s="32" t="s">
        <v>196</v>
      </c>
      <c r="E127" s="25" t="s">
        <v>21</v>
      </c>
      <c r="F127" s="25"/>
      <c r="G127" s="25" t="s">
        <v>921</v>
      </c>
      <c r="H127" s="26"/>
      <c r="I127" s="26"/>
      <c r="J127" s="26" t="s">
        <v>150</v>
      </c>
      <c r="K127" s="25" t="s">
        <v>547</v>
      </c>
    </row>
    <row r="128" spans="1:11" ht="14.4" customHeight="1" x14ac:dyDescent="0.3">
      <c r="A128" s="64">
        <v>124</v>
      </c>
      <c r="B128" s="65" t="s">
        <v>43</v>
      </c>
      <c r="C128" s="29" t="s">
        <v>807</v>
      </c>
      <c r="D128" s="66"/>
      <c r="E128" s="30" t="s">
        <v>22</v>
      </c>
      <c r="F128" s="30"/>
      <c r="G128" s="30" t="s">
        <v>921</v>
      </c>
      <c r="H128" s="29"/>
      <c r="I128" s="29"/>
      <c r="J128" s="29" t="s">
        <v>150</v>
      </c>
      <c r="K128" s="30" t="s">
        <v>924</v>
      </c>
    </row>
    <row r="129" spans="1:11" ht="14.4" customHeight="1" x14ac:dyDescent="0.3">
      <c r="A129" s="62">
        <v>125</v>
      </c>
      <c r="B129" s="63" t="s">
        <v>43</v>
      </c>
      <c r="C129" s="26" t="s">
        <v>809</v>
      </c>
      <c r="D129" s="35" t="s">
        <v>332</v>
      </c>
      <c r="E129" s="25" t="s">
        <v>811</v>
      </c>
      <c r="F129" s="25" t="s">
        <v>811</v>
      </c>
      <c r="G129" s="25" t="s">
        <v>811</v>
      </c>
      <c r="H129" s="26"/>
      <c r="I129" s="26" t="s">
        <v>810</v>
      </c>
      <c r="J129" s="26" t="s">
        <v>927</v>
      </c>
      <c r="K129" s="25" t="s">
        <v>811</v>
      </c>
    </row>
    <row r="130" spans="1:11" ht="14.4" customHeight="1" x14ac:dyDescent="0.3">
      <c r="A130" s="64">
        <v>126</v>
      </c>
      <c r="B130" s="65" t="s">
        <v>43</v>
      </c>
      <c r="C130" s="29" t="s">
        <v>813</v>
      </c>
      <c r="D130" s="35" t="s">
        <v>332</v>
      </c>
      <c r="E130" s="30" t="s">
        <v>811</v>
      </c>
      <c r="F130" s="30" t="s">
        <v>811</v>
      </c>
      <c r="G130" s="30" t="s">
        <v>811</v>
      </c>
      <c r="H130" s="29"/>
      <c r="I130" s="29" t="s">
        <v>407</v>
      </c>
      <c r="J130" s="29" t="s">
        <v>927</v>
      </c>
      <c r="K130" s="30" t="s">
        <v>811</v>
      </c>
    </row>
    <row r="131" spans="1:11" ht="14.4" customHeight="1" x14ac:dyDescent="0.3">
      <c r="A131" s="62">
        <v>127</v>
      </c>
      <c r="B131" s="63" t="s">
        <v>43</v>
      </c>
      <c r="C131" s="26" t="s">
        <v>816</v>
      </c>
      <c r="D131" s="28" t="s">
        <v>332</v>
      </c>
      <c r="E131" s="25" t="s">
        <v>811</v>
      </c>
      <c r="F131" s="25" t="s">
        <v>811</v>
      </c>
      <c r="G131" s="25" t="s">
        <v>811</v>
      </c>
      <c r="H131" s="26"/>
      <c r="I131" s="26" t="s">
        <v>407</v>
      </c>
      <c r="J131" s="26" t="s">
        <v>927</v>
      </c>
      <c r="K131" s="25" t="s">
        <v>811</v>
      </c>
    </row>
    <row r="132" spans="1:11" ht="14.4" customHeight="1" x14ac:dyDescent="0.3">
      <c r="A132" s="64">
        <v>128</v>
      </c>
      <c r="B132" s="65" t="s">
        <v>43</v>
      </c>
      <c r="C132" s="29" t="s">
        <v>819</v>
      </c>
      <c r="D132" s="28" t="s">
        <v>185</v>
      </c>
      <c r="E132" s="30" t="s">
        <v>811</v>
      </c>
      <c r="F132" s="30" t="s">
        <v>811</v>
      </c>
      <c r="G132" s="30" t="s">
        <v>811</v>
      </c>
      <c r="H132" s="29"/>
      <c r="I132" s="29" t="s">
        <v>407</v>
      </c>
      <c r="J132" s="29" t="s">
        <v>927</v>
      </c>
      <c r="K132" s="30" t="s">
        <v>811</v>
      </c>
    </row>
    <row r="133" spans="1:11" ht="14.4" customHeight="1" x14ac:dyDescent="0.3">
      <c r="A133" s="62">
        <v>129</v>
      </c>
      <c r="B133" s="63" t="s">
        <v>43</v>
      </c>
      <c r="C133" s="26" t="s">
        <v>822</v>
      </c>
      <c r="D133" s="28" t="s">
        <v>332</v>
      </c>
      <c r="E133" s="25" t="s">
        <v>811</v>
      </c>
      <c r="F133" s="25" t="s">
        <v>811</v>
      </c>
      <c r="G133" s="25" t="s">
        <v>811</v>
      </c>
      <c r="H133" s="26"/>
      <c r="I133" s="26" t="s">
        <v>407</v>
      </c>
      <c r="J133" s="26" t="s">
        <v>927</v>
      </c>
      <c r="K133" s="25" t="s">
        <v>811</v>
      </c>
    </row>
    <row r="134" spans="1:11" ht="14.4" customHeight="1" x14ac:dyDescent="0.3">
      <c r="A134" s="64">
        <v>130</v>
      </c>
      <c r="B134" s="65" t="s">
        <v>43</v>
      </c>
      <c r="C134" s="29" t="s">
        <v>825</v>
      </c>
      <c r="D134" s="35" t="s">
        <v>332</v>
      </c>
      <c r="E134" s="30" t="s">
        <v>811</v>
      </c>
      <c r="F134" s="30" t="s">
        <v>811</v>
      </c>
      <c r="G134" s="30" t="s">
        <v>811</v>
      </c>
      <c r="H134" s="29"/>
      <c r="I134" s="29" t="s">
        <v>407</v>
      </c>
      <c r="J134" s="29" t="s">
        <v>927</v>
      </c>
      <c r="K134" s="30" t="s">
        <v>811</v>
      </c>
    </row>
    <row r="135" spans="1:11" ht="14.4" customHeight="1" x14ac:dyDescent="0.3">
      <c r="A135" s="62">
        <v>131</v>
      </c>
      <c r="B135" s="63" t="s">
        <v>53</v>
      </c>
      <c r="C135" s="26" t="s">
        <v>828</v>
      </c>
      <c r="D135" s="28" t="s">
        <v>929</v>
      </c>
      <c r="E135" s="25" t="s">
        <v>923</v>
      </c>
      <c r="F135" s="25"/>
      <c r="G135" s="25" t="s">
        <v>921</v>
      </c>
      <c r="H135" s="26" t="s">
        <v>831</v>
      </c>
      <c r="I135" s="26" t="s">
        <v>832</v>
      </c>
      <c r="J135" s="26" t="s">
        <v>927</v>
      </c>
      <c r="K135" s="25" t="s">
        <v>924</v>
      </c>
    </row>
    <row r="136" spans="1:11" ht="14.4" customHeight="1" x14ac:dyDescent="0.3">
      <c r="A136" s="64">
        <v>132</v>
      </c>
      <c r="B136" s="65" t="s">
        <v>53</v>
      </c>
      <c r="C136" s="29" t="s">
        <v>835</v>
      </c>
      <c r="D136" s="28" t="s">
        <v>930</v>
      </c>
      <c r="E136" s="30" t="s">
        <v>923</v>
      </c>
      <c r="F136" s="30"/>
      <c r="G136" s="30" t="s">
        <v>921</v>
      </c>
      <c r="H136" s="29" t="s">
        <v>831</v>
      </c>
      <c r="I136" s="29" t="s">
        <v>832</v>
      </c>
      <c r="J136" s="29" t="s">
        <v>927</v>
      </c>
      <c r="K136" s="30" t="s">
        <v>924</v>
      </c>
    </row>
    <row r="137" spans="1:11" ht="14.4" customHeight="1" x14ac:dyDescent="0.3">
      <c r="A137" s="62">
        <v>133</v>
      </c>
      <c r="B137" s="63" t="s">
        <v>53</v>
      </c>
      <c r="C137" s="26" t="s">
        <v>838</v>
      </c>
      <c r="D137" s="34" t="s">
        <v>931</v>
      </c>
      <c r="E137" s="25" t="s">
        <v>22</v>
      </c>
      <c r="F137" s="25"/>
      <c r="G137" s="25" t="s">
        <v>921</v>
      </c>
      <c r="H137" s="26"/>
      <c r="I137" s="26" t="s">
        <v>932</v>
      </c>
      <c r="J137" s="26" t="s">
        <v>927</v>
      </c>
      <c r="K137" s="25" t="s">
        <v>924</v>
      </c>
    </row>
    <row r="138" spans="1:11" ht="14.4" customHeight="1" x14ac:dyDescent="0.3">
      <c r="A138" s="64">
        <v>134</v>
      </c>
      <c r="B138" s="65" t="s">
        <v>53</v>
      </c>
      <c r="C138" s="29" t="s">
        <v>845</v>
      </c>
      <c r="D138" s="34" t="s">
        <v>929</v>
      </c>
      <c r="E138" s="30" t="s">
        <v>22</v>
      </c>
      <c r="F138" s="30"/>
      <c r="G138" s="30" t="s">
        <v>921</v>
      </c>
      <c r="H138" s="29" t="s">
        <v>847</v>
      </c>
      <c r="I138" s="29" t="s">
        <v>848</v>
      </c>
      <c r="J138" s="29" t="s">
        <v>927</v>
      </c>
      <c r="K138" s="30" t="s">
        <v>924</v>
      </c>
    </row>
    <row r="139" spans="1:11" ht="24" customHeight="1" x14ac:dyDescent="0.3">
      <c r="A139" s="62">
        <v>135</v>
      </c>
      <c r="B139" s="63" t="s">
        <v>53</v>
      </c>
      <c r="C139" s="26" t="s">
        <v>850</v>
      </c>
      <c r="D139" s="34" t="s">
        <v>933</v>
      </c>
      <c r="E139" s="25" t="s">
        <v>22</v>
      </c>
      <c r="F139" s="25"/>
      <c r="G139" s="25" t="s">
        <v>921</v>
      </c>
      <c r="H139" s="26" t="s">
        <v>853</v>
      </c>
      <c r="I139" s="26" t="s">
        <v>854</v>
      </c>
      <c r="J139" s="26" t="s">
        <v>927</v>
      </c>
      <c r="K139" s="25" t="s">
        <v>924</v>
      </c>
    </row>
    <row r="140" spans="1:11" ht="36" customHeight="1" x14ac:dyDescent="0.3">
      <c r="A140" s="11">
        <v>136</v>
      </c>
      <c r="B140" s="11" t="s">
        <v>66</v>
      </c>
      <c r="C140" s="11" t="s">
        <v>934</v>
      </c>
      <c r="D140" s="11" t="s">
        <v>22</v>
      </c>
      <c r="E140" s="11" t="s">
        <v>22</v>
      </c>
      <c r="F140" s="11" t="s">
        <v>894</v>
      </c>
      <c r="G140" s="11" t="s">
        <v>921</v>
      </c>
      <c r="H140" s="11" t="s">
        <v>935</v>
      </c>
      <c r="I140" s="11" t="s">
        <v>936</v>
      </c>
      <c r="J140" s="11" t="s">
        <v>937</v>
      </c>
      <c r="K140" s="11" t="s">
        <v>151</v>
      </c>
    </row>
    <row r="141" spans="1:11" ht="36" customHeight="1" x14ac:dyDescent="0.3">
      <c r="A141" s="12">
        <v>137</v>
      </c>
      <c r="B141" s="12" t="s">
        <v>66</v>
      </c>
      <c r="C141" s="12" t="s">
        <v>938</v>
      </c>
      <c r="D141" s="12" t="s">
        <v>22</v>
      </c>
      <c r="E141" s="12" t="s">
        <v>22</v>
      </c>
      <c r="F141" s="12" t="s">
        <v>939</v>
      </c>
      <c r="G141" s="12" t="s">
        <v>921</v>
      </c>
      <c r="H141" s="12" t="s">
        <v>940</v>
      </c>
      <c r="I141" s="12" t="s">
        <v>941</v>
      </c>
      <c r="J141" s="12" t="s">
        <v>937</v>
      </c>
      <c r="K141" s="12" t="s">
        <v>151</v>
      </c>
    </row>
    <row r="142" spans="1:11" ht="24" customHeight="1" x14ac:dyDescent="0.3">
      <c r="A142" s="11">
        <v>138</v>
      </c>
      <c r="B142" s="11" t="s">
        <v>66</v>
      </c>
      <c r="C142" s="11" t="s">
        <v>942</v>
      </c>
      <c r="D142" s="11" t="s">
        <v>22</v>
      </c>
      <c r="E142" s="11" t="s">
        <v>22</v>
      </c>
      <c r="F142" s="11" t="s">
        <v>943</v>
      </c>
      <c r="G142" s="11" t="s">
        <v>921</v>
      </c>
      <c r="H142" s="11" t="s">
        <v>944</v>
      </c>
      <c r="I142" s="11" t="s">
        <v>945</v>
      </c>
      <c r="J142" s="11" t="s">
        <v>937</v>
      </c>
      <c r="K142" s="11" t="s">
        <v>151</v>
      </c>
    </row>
    <row r="143" spans="1:11" ht="24" customHeight="1" x14ac:dyDescent="0.3">
      <c r="A143" s="12">
        <v>139</v>
      </c>
      <c r="B143" s="12" t="s">
        <v>66</v>
      </c>
      <c r="C143" s="12" t="s">
        <v>946</v>
      </c>
      <c r="D143" s="12" t="s">
        <v>559</v>
      </c>
      <c r="E143" s="12" t="s">
        <v>22</v>
      </c>
      <c r="F143" s="12" t="s">
        <v>886</v>
      </c>
      <c r="G143" s="12" t="s">
        <v>921</v>
      </c>
      <c r="H143" s="12" t="s">
        <v>947</v>
      </c>
      <c r="I143" s="12" t="s">
        <v>948</v>
      </c>
      <c r="J143" s="12" t="s">
        <v>949</v>
      </c>
      <c r="K143" s="12" t="s">
        <v>151</v>
      </c>
    </row>
    <row r="144" spans="1:11" ht="24" customHeight="1" x14ac:dyDescent="0.3">
      <c r="A144" s="11">
        <v>140</v>
      </c>
      <c r="B144" s="11" t="s">
        <v>66</v>
      </c>
      <c r="C144" s="11" t="s">
        <v>950</v>
      </c>
      <c r="D144" s="11" t="s">
        <v>889</v>
      </c>
      <c r="E144" s="11" t="s">
        <v>22</v>
      </c>
      <c r="F144" s="11" t="s">
        <v>894</v>
      </c>
      <c r="G144" s="11" t="s">
        <v>921</v>
      </c>
      <c r="H144" s="11" t="s">
        <v>951</v>
      </c>
      <c r="I144" s="11" t="s">
        <v>952</v>
      </c>
      <c r="J144" s="11" t="s">
        <v>949</v>
      </c>
      <c r="K144" s="11" t="s">
        <v>151</v>
      </c>
    </row>
    <row r="145" spans="1:11" ht="24" customHeight="1" x14ac:dyDescent="0.3">
      <c r="A145" s="12">
        <v>141</v>
      </c>
      <c r="B145" s="12" t="s">
        <v>35</v>
      </c>
      <c r="C145" s="12" t="s">
        <v>953</v>
      </c>
      <c r="D145" s="12" t="s">
        <v>326</v>
      </c>
      <c r="E145" s="12" t="s">
        <v>22</v>
      </c>
      <c r="F145" s="12" t="s">
        <v>902</v>
      </c>
      <c r="G145" s="12" t="s">
        <v>921</v>
      </c>
      <c r="H145" s="12" t="s">
        <v>954</v>
      </c>
      <c r="I145" s="12" t="s">
        <v>955</v>
      </c>
      <c r="J145" s="12" t="s">
        <v>94</v>
      </c>
      <c r="K145" s="12" t="s">
        <v>151</v>
      </c>
    </row>
    <row r="146" spans="1:11" ht="36" customHeight="1" x14ac:dyDescent="0.3">
      <c r="A146" s="11">
        <v>142</v>
      </c>
      <c r="B146" s="11" t="s">
        <v>68</v>
      </c>
      <c r="C146" s="11" t="s">
        <v>956</v>
      </c>
      <c r="D146" s="11" t="s">
        <v>957</v>
      </c>
      <c r="E146" s="11" t="s">
        <v>22</v>
      </c>
      <c r="F146" s="11" t="s">
        <v>921</v>
      </c>
      <c r="G146" s="11" t="s">
        <v>921</v>
      </c>
      <c r="H146" s="11" t="s">
        <v>958</v>
      </c>
      <c r="I146" s="11" t="s">
        <v>959</v>
      </c>
      <c r="J146" s="11" t="s">
        <v>925</v>
      </c>
      <c r="K146" s="11" t="s">
        <v>151</v>
      </c>
    </row>
  </sheetData>
  <autoFilter ref="A4:K139"/>
  <mergeCells count="2">
    <mergeCell ref="A2:K2"/>
    <mergeCell ref="A1:K1"/>
  </mergeCells>
  <printOptions horizontalCentered="1"/>
  <pageMargins left="0.4" right="0.4" top="0.5" bottom="0.5" header="0.3" footer="0.3"/>
  <pageSetup paperSize="9" fitToHeight="0" orientation="landscape" horizontalDpi="300" verticalDpi="300"/>
  <headerFooter>
    <oddHeader>&amp;C&amp;"Arial,Bold"&amp;10 INSPIRE AFRICA GROUP – CONSTRUCTION DEPARTMENT</oddHeader>
    <oddFooter>&amp;L&amp;8 Confidential | May 2026&amp;R&amp;8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showGridLines="0" zoomScale="85" zoomScaleNormal="85" workbookViewId="0">
      <pane ySplit="2" topLeftCell="A3" activePane="bottomLeft" state="frozen"/>
      <selection pane="bottomLeft" activeCell="D19" sqref="D19"/>
    </sheetView>
  </sheetViews>
  <sheetFormatPr defaultColWidth="69" defaultRowHeight="17.399999999999999" x14ac:dyDescent="0.3"/>
  <cols>
    <col min="1" max="1" width="5" style="13" bestFit="1" customWidth="1"/>
    <col min="2" max="2" width="34" style="13" bestFit="1" customWidth="1"/>
    <col min="3" max="3" width="20" style="13" bestFit="1" customWidth="1"/>
    <col min="4" max="4" width="22" customWidth="1"/>
    <col min="5" max="6" width="22" style="13" bestFit="1" customWidth="1"/>
    <col min="7" max="7" width="14" style="13" bestFit="1" customWidth="1"/>
    <col min="8" max="8" width="36" style="13" customWidth="1"/>
    <col min="9" max="9" width="69" style="13" customWidth="1"/>
    <col min="10" max="16384" width="69" style="13"/>
  </cols>
  <sheetData>
    <row r="1" spans="1:8" ht="28.05" customHeight="1" thickBot="1" x14ac:dyDescent="0.35">
      <c r="A1" s="115" t="s">
        <v>960</v>
      </c>
      <c r="B1" s="69"/>
      <c r="C1" s="69"/>
      <c r="D1" s="69"/>
      <c r="E1" s="69"/>
      <c r="F1" s="69"/>
      <c r="G1" s="69"/>
      <c r="H1" s="70"/>
    </row>
    <row r="2" spans="1:8" ht="36" customHeight="1" thickBot="1" x14ac:dyDescent="0.35">
      <c r="A2" s="14" t="s">
        <v>153</v>
      </c>
      <c r="B2" s="14" t="s">
        <v>154</v>
      </c>
      <c r="C2" s="14" t="s">
        <v>155</v>
      </c>
      <c r="D2" s="14" t="s">
        <v>156</v>
      </c>
      <c r="E2" s="14" t="s">
        <v>157</v>
      </c>
      <c r="F2" s="14" t="s">
        <v>158</v>
      </c>
      <c r="G2" s="14" t="s">
        <v>159</v>
      </c>
      <c r="H2" s="14" t="s">
        <v>160</v>
      </c>
    </row>
    <row r="3" spans="1:8" ht="18" customHeight="1" x14ac:dyDescent="0.3">
      <c r="A3" s="15">
        <v>1</v>
      </c>
      <c r="B3" s="16" t="s">
        <v>961</v>
      </c>
      <c r="C3" s="17">
        <v>165000000</v>
      </c>
      <c r="D3" s="17">
        <v>103000000</v>
      </c>
      <c r="E3" s="17">
        <v>8000000</v>
      </c>
      <c r="F3" s="15">
        <v>8000000</v>
      </c>
      <c r="G3" s="15">
        <v>8000000</v>
      </c>
      <c r="H3" s="16" t="s">
        <v>962</v>
      </c>
    </row>
    <row r="4" spans="1:8" ht="18" customHeight="1" x14ac:dyDescent="0.3">
      <c r="A4" s="18">
        <v>2</v>
      </c>
      <c r="B4" s="19" t="s">
        <v>963</v>
      </c>
      <c r="C4" s="20">
        <v>852070000</v>
      </c>
      <c r="D4" s="20">
        <v>265000000</v>
      </c>
      <c r="E4" s="21">
        <f>'[1]Certificate Page'!$G$36</f>
        <v>104069430</v>
      </c>
      <c r="F4" s="18"/>
      <c r="G4" s="18"/>
      <c r="H4" s="19"/>
    </row>
    <row r="5" spans="1:8" ht="18" customHeight="1" x14ac:dyDescent="0.3">
      <c r="A5" s="15">
        <v>3</v>
      </c>
      <c r="B5" s="16" t="s">
        <v>964</v>
      </c>
      <c r="C5" s="17">
        <v>150000000</v>
      </c>
      <c r="D5" s="17">
        <v>35000000</v>
      </c>
      <c r="E5" s="22">
        <v>10040850</v>
      </c>
      <c r="F5" s="15"/>
      <c r="G5" s="15"/>
      <c r="H5" s="16"/>
    </row>
    <row r="6" spans="1:8" ht="18" customHeight="1" x14ac:dyDescent="0.3">
      <c r="A6" s="18">
        <v>4</v>
      </c>
      <c r="B6" s="19" t="s">
        <v>965</v>
      </c>
      <c r="C6" s="20">
        <v>197620000</v>
      </c>
      <c r="D6" s="20">
        <v>95000000</v>
      </c>
      <c r="E6" s="21">
        <f>'[2]Certificate Page'!$G$36</f>
        <v>64188000</v>
      </c>
      <c r="F6" s="18"/>
      <c r="G6" s="18"/>
      <c r="H6" s="19"/>
    </row>
    <row r="7" spans="1:8" ht="30" customHeight="1" x14ac:dyDescent="0.3">
      <c r="A7" s="15">
        <v>5</v>
      </c>
      <c r="B7" s="16" t="s">
        <v>966</v>
      </c>
      <c r="C7" s="17">
        <v>22000000</v>
      </c>
      <c r="D7" s="17">
        <v>13000000</v>
      </c>
      <c r="E7" s="17">
        <v>-8000</v>
      </c>
      <c r="F7" s="15"/>
      <c r="G7" s="15"/>
      <c r="H7" s="16" t="s">
        <v>967</v>
      </c>
    </row>
    <row r="8" spans="1:8" ht="18" customHeight="1" x14ac:dyDescent="0.3">
      <c r="A8" s="18">
        <v>6</v>
      </c>
      <c r="B8" s="19" t="s">
        <v>968</v>
      </c>
      <c r="C8" s="20">
        <v>139500000</v>
      </c>
      <c r="D8" s="20">
        <v>88000000</v>
      </c>
      <c r="E8" s="20">
        <v>6408000</v>
      </c>
      <c r="F8" s="18"/>
      <c r="G8" s="18"/>
      <c r="H8" s="19"/>
    </row>
    <row r="9" spans="1:8" ht="18" customHeight="1" x14ac:dyDescent="0.3">
      <c r="A9" s="15">
        <v>7</v>
      </c>
      <c r="B9" s="16" t="s">
        <v>969</v>
      </c>
      <c r="C9" s="17">
        <v>79344600</v>
      </c>
      <c r="D9" s="17">
        <v>40000000</v>
      </c>
      <c r="E9" s="17">
        <v>14485140</v>
      </c>
      <c r="F9" s="15"/>
      <c r="G9" s="15"/>
      <c r="H9" s="16"/>
    </row>
    <row r="10" spans="1:8" ht="18" customHeight="1" x14ac:dyDescent="0.3">
      <c r="A10" s="18">
        <v>8</v>
      </c>
      <c r="B10" s="19" t="s">
        <v>970</v>
      </c>
      <c r="C10" s="20">
        <v>44000000</v>
      </c>
      <c r="D10" s="20">
        <v>28000000</v>
      </c>
      <c r="E10" s="20">
        <v>2989449</v>
      </c>
      <c r="F10" s="18"/>
      <c r="G10" s="18"/>
      <c r="H10" s="19"/>
    </row>
    <row r="11" spans="1:8" ht="18" customHeight="1" x14ac:dyDescent="0.3">
      <c r="A11" s="15">
        <v>9</v>
      </c>
      <c r="B11" s="16" t="s">
        <v>971</v>
      </c>
      <c r="C11" s="17">
        <v>82250000</v>
      </c>
      <c r="D11" s="17">
        <v>23000000</v>
      </c>
      <c r="E11" s="17">
        <v>5067447</v>
      </c>
      <c r="F11" s="15"/>
      <c r="G11" s="15"/>
      <c r="H11" s="16"/>
    </row>
    <row r="12" spans="1:8" ht="18" hidden="1" customHeight="1" x14ac:dyDescent="0.3">
      <c r="A12" s="18">
        <v>24</v>
      </c>
      <c r="B12" s="19" t="s">
        <v>972</v>
      </c>
      <c r="C12" s="20">
        <v>14000000</v>
      </c>
      <c r="D12" s="20">
        <v>0</v>
      </c>
      <c r="E12" s="20">
        <v>0</v>
      </c>
      <c r="F12" s="18"/>
      <c r="G12" s="18"/>
      <c r="H12" s="19"/>
    </row>
    <row r="13" spans="1:8" ht="18" customHeight="1" x14ac:dyDescent="0.3">
      <c r="A13" s="15">
        <v>10</v>
      </c>
      <c r="B13" s="16" t="s">
        <v>173</v>
      </c>
      <c r="C13" s="17">
        <v>130000000</v>
      </c>
      <c r="D13" s="17">
        <v>30000000</v>
      </c>
      <c r="E13" s="17">
        <v>17180848</v>
      </c>
      <c r="F13" s="15"/>
      <c r="G13" s="15"/>
      <c r="H13" s="16"/>
    </row>
    <row r="14" spans="1:8" ht="18" customHeight="1" x14ac:dyDescent="0.3">
      <c r="A14" s="18">
        <v>11</v>
      </c>
      <c r="B14" s="19" t="s">
        <v>973</v>
      </c>
      <c r="C14" s="20">
        <v>24000000</v>
      </c>
      <c r="D14" s="20">
        <v>14000000</v>
      </c>
      <c r="E14" s="20">
        <v>2016000</v>
      </c>
      <c r="F14" s="18"/>
      <c r="G14" s="18"/>
      <c r="H14" s="19"/>
    </row>
    <row r="15" spans="1:8" ht="18" customHeight="1" thickBot="1" x14ac:dyDescent="0.35">
      <c r="A15" s="15">
        <v>12</v>
      </c>
      <c r="B15" s="16" t="s">
        <v>974</v>
      </c>
      <c r="C15" s="17">
        <v>375600000</v>
      </c>
      <c r="D15" s="17">
        <v>140000000</v>
      </c>
      <c r="E15" s="17">
        <v>9508495.6795499995</v>
      </c>
      <c r="F15" s="15"/>
      <c r="G15" s="15"/>
      <c r="H15" s="16"/>
    </row>
    <row r="16" spans="1:8" s="120" customFormat="1" ht="18" customHeight="1" thickBot="1" x14ac:dyDescent="0.35">
      <c r="A16" s="117"/>
      <c r="B16" s="118" t="s">
        <v>975</v>
      </c>
      <c r="C16" s="119">
        <f>SUM(C3:C15)</f>
        <v>2275384600</v>
      </c>
      <c r="D16" s="119">
        <f>SUM(D3:D15)</f>
        <v>874000000</v>
      </c>
      <c r="E16" s="119">
        <f>SUM(E3:E15)</f>
        <v>243945659.67954999</v>
      </c>
      <c r="F16" s="117">
        <f>SUM(F3:F14)</f>
        <v>8000000</v>
      </c>
      <c r="G16" s="117">
        <f>SUM(G3:G14)</f>
        <v>8000000</v>
      </c>
      <c r="H16" s="118"/>
    </row>
  </sheetData>
  <mergeCells count="1">
    <mergeCell ref="A1:H1"/>
  </mergeCells>
  <printOptions horizontalCentered="1"/>
  <pageMargins left="0.4" right="0.4" top="0.5" bottom="0.5" header="0.3" footer="0.3"/>
  <pageSetup paperSize="9" fitToHeight="0" orientation="landscape" r:id="rId1"/>
  <headerFooter>
    <oddHeader>&amp;C&amp;"Arial,Bold"&amp;10 INSPIRE AFRICA GROUP – CONSTRUCTION DEPARTMENT</oddHeader>
    <oddFooter>&amp;L&amp;8 Confidential | May 2026&amp;R&amp;8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
  <sheetViews>
    <sheetView showGridLines="0" tabSelected="1" workbookViewId="0">
      <pane ySplit="2" topLeftCell="A3" activePane="bottomLeft" state="frozen"/>
      <selection pane="bottomLeft" activeCell="B16" sqref="B16"/>
    </sheetView>
  </sheetViews>
  <sheetFormatPr defaultRowHeight="14.4" x14ac:dyDescent="0.3"/>
  <cols>
    <col min="1" max="1" width="46" customWidth="1"/>
    <col min="2" max="2" width="32" customWidth="1"/>
    <col min="3" max="4" width="14" customWidth="1"/>
    <col min="5" max="5" width="20" customWidth="1"/>
    <col min="6" max="6" width="18" customWidth="1"/>
  </cols>
  <sheetData>
    <row r="1" spans="1:6" ht="28.05" customHeight="1" x14ac:dyDescent="0.3">
      <c r="A1" s="116" t="s">
        <v>976</v>
      </c>
      <c r="B1" s="69"/>
      <c r="C1" s="69"/>
      <c r="D1" s="69"/>
      <c r="E1" s="69"/>
      <c r="F1" s="70"/>
    </row>
    <row r="2" spans="1:6" ht="36" customHeight="1" x14ac:dyDescent="0.3">
      <c r="A2" s="1" t="s">
        <v>177</v>
      </c>
      <c r="B2" s="1" t="s">
        <v>178</v>
      </c>
      <c r="C2" s="1" t="s">
        <v>179</v>
      </c>
      <c r="D2" s="1" t="s">
        <v>180</v>
      </c>
      <c r="E2" s="1" t="s">
        <v>181</v>
      </c>
      <c r="F2" s="1" t="s">
        <v>182</v>
      </c>
    </row>
    <row r="3" spans="1:6" ht="30" customHeight="1" x14ac:dyDescent="0.3">
      <c r="A3" s="2" t="s">
        <v>183</v>
      </c>
      <c r="B3" s="2" t="s">
        <v>184</v>
      </c>
      <c r="C3" s="3" t="s">
        <v>185</v>
      </c>
      <c r="D3" s="3" t="s">
        <v>186</v>
      </c>
      <c r="E3" s="3" t="s">
        <v>187</v>
      </c>
      <c r="F3" s="3" t="s">
        <v>188</v>
      </c>
    </row>
    <row r="4" spans="1:6" ht="30" customHeight="1" x14ac:dyDescent="0.3">
      <c r="A4" s="4" t="s">
        <v>977</v>
      </c>
      <c r="B4" s="4" t="s">
        <v>190</v>
      </c>
      <c r="C4" s="5" t="s">
        <v>186</v>
      </c>
      <c r="D4" s="5" t="s">
        <v>191</v>
      </c>
      <c r="E4" s="5" t="s">
        <v>192</v>
      </c>
      <c r="F4" s="5" t="s">
        <v>193</v>
      </c>
    </row>
    <row r="5" spans="1:6" ht="18" customHeight="1" x14ac:dyDescent="0.3">
      <c r="A5" s="2" t="s">
        <v>978</v>
      </c>
      <c r="B5" s="2" t="s">
        <v>195</v>
      </c>
      <c r="C5" s="3" t="s">
        <v>196</v>
      </c>
      <c r="D5" s="3" t="s">
        <v>197</v>
      </c>
      <c r="E5" s="3" t="s">
        <v>198</v>
      </c>
      <c r="F5" s="3" t="s">
        <v>198</v>
      </c>
    </row>
    <row r="6" spans="1:6" ht="18" customHeight="1" x14ac:dyDescent="0.3">
      <c r="A6" s="4" t="s">
        <v>979</v>
      </c>
      <c r="B6" s="4" t="s">
        <v>200</v>
      </c>
      <c r="C6" s="5" t="s">
        <v>201</v>
      </c>
      <c r="D6" s="5" t="s">
        <v>202</v>
      </c>
      <c r="E6" s="5" t="s">
        <v>198</v>
      </c>
      <c r="F6" s="5" t="s">
        <v>198</v>
      </c>
    </row>
    <row r="7" spans="1:6" ht="18" customHeight="1" x14ac:dyDescent="0.3">
      <c r="A7" s="2" t="s">
        <v>980</v>
      </c>
      <c r="B7" s="2" t="s">
        <v>204</v>
      </c>
      <c r="C7" s="3" t="s">
        <v>198</v>
      </c>
      <c r="D7" s="3" t="s">
        <v>198</v>
      </c>
      <c r="E7" s="3" t="s">
        <v>198</v>
      </c>
      <c r="F7" s="3" t="s">
        <v>198</v>
      </c>
    </row>
    <row r="8" spans="1:6" ht="18" customHeight="1" x14ac:dyDescent="0.3">
      <c r="A8" s="4" t="s">
        <v>205</v>
      </c>
      <c r="B8" s="4" t="s">
        <v>204</v>
      </c>
      <c r="C8" s="5" t="s">
        <v>198</v>
      </c>
      <c r="D8" s="5" t="s">
        <v>198</v>
      </c>
      <c r="E8" s="5" t="s">
        <v>198</v>
      </c>
      <c r="F8" s="5" t="s">
        <v>198</v>
      </c>
    </row>
  </sheetData>
  <mergeCells count="1">
    <mergeCell ref="A1:F1"/>
  </mergeCells>
  <printOptions horizontalCentered="1"/>
  <pageMargins left="0.4" right="0.4" top="0.5" bottom="0.5" header="0.3" footer="0.3"/>
  <pageSetup paperSize="9" fitToHeight="0" orientation="landscape"/>
  <headerFooter>
    <oddHeader>&amp;C&amp;"Arial,Bold"&amp;10 INSPIRE AFRICA GROUP – CONSTRUCTION DEPARTMENT</oddHeader>
    <oddFooter>&amp;L&amp;8 Confidential | May 2026&amp;R&amp;8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Executive Summary</vt:lpstr>
      <vt:lpstr>Tracker</vt:lpstr>
      <vt:lpstr>Work Programme</vt:lpstr>
      <vt:lpstr>Contractors verified</vt:lpstr>
      <vt:lpstr>Consultancy Works</vt:lpstr>
      <vt:lpstr>'Consultancy Works'!Print_Titles</vt:lpstr>
      <vt:lpstr>'Contractors verified'!Print_Titles</vt:lpstr>
      <vt:lpstr>'Executive Summary'!Print_Titles</vt:lpstr>
      <vt:lpstr>Tracker!Print_Titles</vt:lpstr>
      <vt:lpstr>'Work Programme'!Print_Titles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Norbert Twesigye</cp:lastModifiedBy>
  <cp:revision>0</cp:revision>
  <dcterms:created xsi:type="dcterms:W3CDTF">2026-06-04T19:04:16Z</dcterms:created>
  <dcterms:modified xsi:type="dcterms:W3CDTF">2026-06-05T01:43:52Z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inkedDataId">
    <vt:lpwstr>{9BB82639-7D99-45A2-BC1F-A45BD4514FDD}</vt:lpwstr>
  </property>
  <property fmtid="{D5CDD505-2E9C-101B-9397-08002B2CF9AE}" pid="3" name="PlanSwiftJobGuid">
    <vt:lpwstr/>
  </property>
  <property fmtid="{D5CDD505-2E9C-101B-9397-08002B2CF9AE}" pid="4" name="PlanSwiftJobName">
    <vt:lpwstr/>
  </property>
</Properties>
</file>